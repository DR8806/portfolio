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sujanmunver/Desktop/"/>
    </mc:Choice>
  </mc:AlternateContent>
  <xr:revisionPtr revIDLastSave="0" documentId="13_ncr:1_{EC1D6999-1202-C84C-89BF-E4B80B804CF8}" xr6:coauthVersionLast="47" xr6:coauthVersionMax="47" xr10:uidLastSave="{00000000-0000-0000-0000-000000000000}"/>
  <bookViews>
    <workbookView xWindow="0" yWindow="760" windowWidth="30240" windowHeight="18880" xr2:uid="{AC0D26A3-969D-AB4F-AD07-2CE352F907ED}"/>
  </bookViews>
  <sheets>
    <sheet name="(HOME)" sheetId="13" r:id="rId1"/>
    <sheet name="Parameters and Rates" sheetId="1" r:id="rId2"/>
    <sheet name="Link Loads" sheetId="3" r:id="rId3"/>
    <sheet name="Kinematics" sheetId="8" r:id="rId4"/>
    <sheet name="Roll Rates" sheetId="2" r:id="rId5"/>
    <sheet name="ARB Design" sheetId="16" r:id="rId6"/>
    <sheet name="Load Transfer" sheetId="11" r:id="rId7"/>
    <sheet name="RF, K, k, MR" sheetId="4" r:id="rId8"/>
    <sheet name="Pitch" sheetId="9" r:id="rId9"/>
    <sheet name="Aero Clearance" sheetId="5" r:id="rId10"/>
    <sheet name="Weight" sheetId="17" r:id="rId11"/>
    <sheet name="Understeer" sheetId="10" r:id="rId12"/>
    <sheet name="Tires" sheetId="6" r:id="rId13"/>
    <sheet name="Z - Damping" sheetId="7" r:id="rId14"/>
  </sheets>
  <definedNames>
    <definedName name="a_bump">'Parameters and Rates'!$K$28</definedName>
    <definedName name="a_x_accel">'Parameters and Rates'!$M$24</definedName>
    <definedName name="a_x_accelCorner">'Parameters and Rates'!$M$26</definedName>
    <definedName name="a_x_brake">'Parameters and Rates'!$M$25</definedName>
    <definedName name="a_x_brakeCorner">'Parameters and Rates'!$M$27</definedName>
    <definedName name="a_x_corner">'Parameters and Rates'!$M$23</definedName>
    <definedName name="a_y">'Parameters and Rates'!$K$23</definedName>
    <definedName name="a_y_accel">'Parameters and Rates'!$K$24</definedName>
    <definedName name="a_y_accelCorner">'Parameters and Rates'!$K$26</definedName>
    <definedName name="a_y_brake">'Parameters and Rates'!$K$25</definedName>
    <definedName name="a_y_brakeCorner">'Parameters and Rates'!$K$27</definedName>
    <definedName name="cg_in">'Parameters and Rates'!$D$8</definedName>
    <definedName name="cg_m">'Parameters and Rates'!$F$8</definedName>
    <definedName name="cornerWeight_lbf">'Parameters and Rates'!$D$15</definedName>
    <definedName name="cornerWeight_N">'Parameters and Rates'!$F$15</definedName>
    <definedName name="criticalSpeed">'Parameters and Rates'!$K$19</definedName>
    <definedName name="f_cornering_lbf">'Parameters and Rates'!$D$22</definedName>
    <definedName name="f_cornering_N">'Parameters and Rates'!$F$22</definedName>
    <definedName name="FARB_disp_soft">'Roll Rates'!$N$16</definedName>
    <definedName name="FARB_disp_stiff">'Roll Rates'!$N$15</definedName>
    <definedName name="FARB_rate_max">'Roll Rates'!$N$8</definedName>
    <definedName name="FARB_rate_min">'Roll Rates'!$N$7</definedName>
    <definedName name="LLTD">'Parameters and Rates'!$D$21</definedName>
    <definedName name="MR_ARB_front">'Parameters and Rates'!$D$19</definedName>
    <definedName name="MR_ARB_rear">'Parameters and Rates'!$D$20</definedName>
    <definedName name="MR_front">'Parameters and Rates'!$D$17</definedName>
    <definedName name="MR_rear">'Parameters and Rates'!$D$18</definedName>
    <definedName name="pitchGrad_accel">'Parameters and Rates'!$K$16</definedName>
    <definedName name="pitchGrad_brake">'Parameters and Rates'!$K$17</definedName>
    <definedName name="pitchGrad_min">'Parameters and Rates'!$K$16</definedName>
    <definedName name="RARB_disp_soft">'Roll Rates'!$P$16</definedName>
    <definedName name="RARB_disp_stiff">'Roll Rates'!$P$15</definedName>
    <definedName name="RARB_rate_max">'Roll Rates'!$P$8</definedName>
    <definedName name="RARB_rate_min">'Roll Rates'!$P$7</definedName>
    <definedName name="rc_front_in">'Parameters and Rates'!$D$9</definedName>
    <definedName name="rc_front_m">'Parameters and Rates'!$F$9</definedName>
    <definedName name="rc_rear_in">'Parameters and Rates'!$D$10</definedName>
    <definedName name="rc_rear_m">'Parameters and Rates'!$F$10</definedName>
    <definedName name="rideFreq_front">'Parameters and Rates'!$K$3</definedName>
    <definedName name="rideFreq_rear">'Parameters and Rates'!$K$4</definedName>
    <definedName name="rideHeight_in">'Parameters and Rates'!$D$6</definedName>
    <definedName name="rideHeight_m">'Parameters and Rates'!$F$6</definedName>
    <definedName name="rollGrad_max">'Parameters and Rates'!$K$15</definedName>
    <definedName name="rollGrad_min">'Parameters and Rates'!$K$14</definedName>
    <definedName name="springRate_front_imp">'Parameters and Rates'!$K$7</definedName>
    <definedName name="springRate_front_SI">'Parameters and Rates'!$M$7</definedName>
    <definedName name="springRate_rear_imp">'Parameters and Rates'!$K$8</definedName>
    <definedName name="springRate_rear_SI">'Parameters and Rates'!$M$8</definedName>
    <definedName name="tireRate_imp">'Parameters and Rates'!$K$11</definedName>
    <definedName name="tireRate_SI">'Parameters and Rates'!$M$11</definedName>
    <definedName name="totalSprungWeight_lbf">'Parameters and Rates'!$D$14</definedName>
    <definedName name="totalSprungWeight_N">'Parameters and Rates'!$F$14</definedName>
    <definedName name="totalWeight_lbf">'Parameters and Rates'!$D$13</definedName>
    <definedName name="totalWeight_N">'Parameters and Rates'!$F$13</definedName>
    <definedName name="trackwidth_front_in">'Parameters and Rates'!$D$4</definedName>
    <definedName name="trackwidth_front_m">'Parameters and Rates'!$F$4</definedName>
    <definedName name="trackwidth_rear_in">'Parameters and Rates'!$D$5</definedName>
    <definedName name="trackwidth_rear_m">'Parameters and Rates'!$F$5</definedName>
    <definedName name="understeerGrad">'Parameters and Rates'!$K$18</definedName>
    <definedName name="vehicleWeight_lbf">'Parameters and Rates'!$D$11</definedName>
    <definedName name="vehicleWeight_N">'Parameters and Rates'!$F$11</definedName>
    <definedName name="weightDist">'Parameters and Rates'!$D$7</definedName>
    <definedName name="wheelbase_in">'Parameters and Rates'!$D$3</definedName>
    <definedName name="wheelbase_m">'Parameters and Rates'!$F$3</definedName>
    <definedName name="wheelRate_front_imp">'Parameters and Rates'!$K$5</definedName>
    <definedName name="wheelRate_front_SI">'Parameters and Rates'!$M$5</definedName>
    <definedName name="wheelRate_rear_imp">'Parameters and Rates'!$K$6</definedName>
    <definedName name="wheelRate_rear_SI">'Parameters and Rates'!$M$6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16" l="1"/>
  <c r="I36" i="16"/>
  <c r="L19" i="16"/>
  <c r="L37" i="16"/>
  <c r="L36" i="16"/>
  <c r="L35" i="16"/>
  <c r="L34" i="16"/>
  <c r="I34" i="16"/>
  <c r="L33" i="16"/>
  <c r="I33" i="16"/>
  <c r="F9" i="2"/>
  <c r="Q20" i="16"/>
  <c r="Q21" i="16"/>
  <c r="T20" i="16"/>
  <c r="T21" i="16"/>
  <c r="G20" i="17"/>
  <c r="F20" i="17"/>
  <c r="M10" i="1"/>
  <c r="M9" i="1"/>
  <c r="G4" i="17"/>
  <c r="G5" i="17"/>
  <c r="G6" i="17"/>
  <c r="G7" i="17"/>
  <c r="G8" i="17"/>
  <c r="G9" i="17"/>
  <c r="G10" i="17"/>
  <c r="G11" i="17"/>
  <c r="G12" i="17"/>
  <c r="G13" i="17"/>
  <c r="G14" i="17"/>
  <c r="G15" i="17"/>
  <c r="G16" i="17"/>
  <c r="G17" i="17"/>
  <c r="G18" i="17"/>
  <c r="E19" i="17"/>
  <c r="D19" i="17"/>
  <c r="C19" i="17"/>
  <c r="F5" i="17"/>
  <c r="F6" i="17"/>
  <c r="F7" i="17"/>
  <c r="F8" i="17"/>
  <c r="F9" i="17"/>
  <c r="F10" i="17"/>
  <c r="F11" i="17"/>
  <c r="F12" i="17"/>
  <c r="F13" i="17"/>
  <c r="F14" i="17"/>
  <c r="F15" i="17"/>
  <c r="F16" i="17"/>
  <c r="F17" i="17"/>
  <c r="F18" i="17"/>
  <c r="F4" i="17"/>
  <c r="M8" i="1"/>
  <c r="M6" i="1" s="1"/>
  <c r="M7" i="1"/>
  <c r="M5" i="1" s="1"/>
  <c r="T28" i="16"/>
  <c r="Q28" i="16"/>
  <c r="T27" i="16"/>
  <c r="Q27" i="16"/>
  <c r="D6" i="16"/>
  <c r="D4" i="16"/>
  <c r="D5" i="16" s="1"/>
  <c r="D9" i="16"/>
  <c r="D10" i="16" s="1"/>
  <c r="I37" i="16" l="1"/>
  <c r="I19" i="16" s="1"/>
  <c r="D6" i="2"/>
  <c r="K6" i="1"/>
  <c r="K5" i="1"/>
  <c r="G19" i="17"/>
  <c r="F19" i="17"/>
  <c r="T30" i="16"/>
  <c r="Q30" i="16"/>
  <c r="D11" i="16"/>
  <c r="D8" i="16"/>
  <c r="D7" i="16"/>
  <c r="D3" i="16"/>
  <c r="D12" i="16" l="1"/>
  <c r="C29" i="11" l="1"/>
  <c r="C24" i="11"/>
  <c r="E19" i="11"/>
  <c r="C19" i="11"/>
  <c r="E13" i="11"/>
  <c r="C13" i="11"/>
  <c r="C3" i="11"/>
  <c r="C9" i="8"/>
  <c r="C8" i="8"/>
  <c r="C7" i="8"/>
  <c r="C6" i="8"/>
  <c r="C5" i="8"/>
  <c r="P24" i="3"/>
  <c r="N24" i="3"/>
  <c r="L24" i="3"/>
  <c r="J24" i="3"/>
  <c r="P14" i="3"/>
  <c r="N14" i="3"/>
  <c r="L14" i="3"/>
  <c r="J14" i="3"/>
  <c r="L27" i="3"/>
  <c r="J27" i="3"/>
  <c r="D6" i="5"/>
  <c r="D5" i="5"/>
  <c r="D10" i="5" l="1"/>
  <c r="E44" i="8" l="1"/>
  <c r="C44" i="8"/>
  <c r="C8" i="9"/>
  <c r="E3" i="9"/>
  <c r="E16" i="9" l="1"/>
  <c r="C16" i="9"/>
  <c r="E5" i="9" l="1"/>
  <c r="E4" i="9"/>
  <c r="C15" i="6" l="1"/>
  <c r="C16" i="6" s="1"/>
  <c r="F15" i="6"/>
  <c r="F16" i="6" s="1"/>
  <c r="F14" i="6"/>
  <c r="F13" i="6"/>
  <c r="C14" i="6"/>
  <c r="C13" i="6"/>
  <c r="D12" i="10" l="1"/>
  <c r="D10" i="10"/>
  <c r="D11" i="10"/>
  <c r="D9" i="10"/>
  <c r="D3" i="5" l="1"/>
  <c r="D4" i="5" s="1"/>
  <c r="D29" i="1" l="1"/>
  <c r="P16" i="3" l="1"/>
  <c r="P15" i="3"/>
  <c r="N16" i="3"/>
  <c r="N15" i="3"/>
  <c r="D17" i="3" l="1"/>
  <c r="P27" i="3"/>
  <c r="N27" i="3"/>
  <c r="G18" i="3"/>
  <c r="G17" i="3"/>
  <c r="G16" i="3"/>
  <c r="G15" i="3"/>
  <c r="D18" i="3"/>
  <c r="D16" i="3"/>
  <c r="D15" i="3"/>
  <c r="F18" i="3"/>
  <c r="F17" i="3"/>
  <c r="F16" i="3"/>
  <c r="F15" i="3"/>
  <c r="C18" i="3"/>
  <c r="C17" i="3"/>
  <c r="C16" i="3"/>
  <c r="C15" i="3"/>
  <c r="K15" i="1" l="1"/>
  <c r="K14" i="1"/>
  <c r="D21" i="1"/>
  <c r="D35" i="1"/>
  <c r="D34" i="1"/>
  <c r="D33" i="1"/>
  <c r="D32" i="1"/>
  <c r="D30" i="1"/>
  <c r="D31" i="1"/>
  <c r="D27" i="1"/>
  <c r="D26" i="1"/>
  <c r="D25" i="1"/>
  <c r="D24" i="1"/>
  <c r="D23" i="1"/>
  <c r="D14" i="16" l="1"/>
  <c r="D15" i="16"/>
  <c r="J25" i="3"/>
  <c r="J26" i="3" s="1"/>
  <c r="L25" i="3"/>
  <c r="L26" i="3" s="1"/>
  <c r="I9" i="11"/>
  <c r="P25" i="3"/>
  <c r="P26" i="3" s="1"/>
  <c r="N25" i="3"/>
  <c r="N26" i="3" s="1"/>
  <c r="D13" i="5"/>
  <c r="D8" i="5"/>
  <c r="D7" i="5"/>
  <c r="R9" i="3"/>
  <c r="Q9" i="3"/>
  <c r="P9" i="3"/>
  <c r="E23" i="8"/>
  <c r="E24" i="8"/>
  <c r="E21" i="8"/>
  <c r="D9" i="3"/>
  <c r="E9" i="3"/>
  <c r="F9" i="3"/>
  <c r="G9" i="3"/>
  <c r="H9" i="3"/>
  <c r="I9" i="3"/>
  <c r="J9" i="3"/>
  <c r="K9" i="3"/>
  <c r="L9" i="3"/>
  <c r="M9" i="3"/>
  <c r="N9" i="3"/>
  <c r="O9" i="3"/>
  <c r="C9" i="3"/>
  <c r="D36" i="16" l="1"/>
  <c r="D24" i="16"/>
  <c r="D18" i="16"/>
  <c r="D30" i="16"/>
  <c r="B37" i="2"/>
  <c r="B35" i="2"/>
  <c r="B33" i="2"/>
  <c r="D17" i="2" l="1"/>
  <c r="D16" i="2"/>
  <c r="D15" i="2"/>
  <c r="D14" i="2"/>
  <c r="D13" i="2"/>
  <c r="D12" i="2"/>
  <c r="D11" i="2"/>
  <c r="D10" i="2"/>
  <c r="M11" i="1" l="1"/>
  <c r="D13" i="1" l="1"/>
  <c r="D14" i="1" l="1"/>
  <c r="C8" i="6"/>
  <c r="E8" i="6" s="1"/>
  <c r="E3" i="7"/>
  <c r="F9" i="1"/>
  <c r="F10" i="1"/>
  <c r="F11" i="1"/>
  <c r="D3" i="10" s="1"/>
  <c r="F12" i="1"/>
  <c r="F13" i="1"/>
  <c r="C25" i="11" s="1"/>
  <c r="F15" i="1"/>
  <c r="F16" i="1"/>
  <c r="F8" i="1"/>
  <c r="C27" i="11" s="1"/>
  <c r="F4" i="1"/>
  <c r="F5" i="1"/>
  <c r="F6" i="1"/>
  <c r="F3" i="1"/>
  <c r="D4" i="10" s="1"/>
  <c r="F14" i="1" l="1"/>
  <c r="C4" i="11"/>
  <c r="P18" i="3"/>
  <c r="P19" i="3" s="1"/>
  <c r="P20" i="3" s="1"/>
  <c r="N18" i="3"/>
  <c r="N19" i="3" s="1"/>
  <c r="N20" i="3" s="1"/>
  <c r="F3" i="2"/>
  <c r="C28" i="11"/>
  <c r="F7" i="2"/>
  <c r="D7" i="2" s="1"/>
  <c r="F4" i="2"/>
  <c r="F8" i="2"/>
  <c r="D8" i="2" s="1"/>
  <c r="F21" i="2"/>
  <c r="F22" i="2" s="1"/>
  <c r="G21" i="2"/>
  <c r="G22" i="2" s="1"/>
  <c r="H21" i="2"/>
  <c r="H22" i="2" s="1"/>
  <c r="I21" i="2"/>
  <c r="I22" i="2" s="1"/>
  <c r="J21" i="2"/>
  <c r="J22" i="2" s="1"/>
  <c r="K21" i="2"/>
  <c r="K22" i="2" s="1"/>
  <c r="E21" i="2"/>
  <c r="E22" i="2" s="1"/>
  <c r="C9" i="6"/>
  <c r="E9" i="6" s="1"/>
  <c r="C10" i="6" s="1"/>
  <c r="E10" i="6" s="1"/>
  <c r="D6" i="10"/>
  <c r="D8" i="10" s="1"/>
  <c r="D5" i="10"/>
  <c r="D7" i="10" s="1"/>
  <c r="J15" i="3" l="1"/>
  <c r="J17" i="3" s="1"/>
  <c r="C20" i="3" s="1"/>
  <c r="L15" i="3"/>
  <c r="L17" i="3" s="1"/>
  <c r="F20" i="3" s="1"/>
  <c r="D5" i="2"/>
  <c r="C7" i="11"/>
  <c r="C9" i="11" s="1"/>
  <c r="C6" i="11"/>
  <c r="C8" i="11" s="1"/>
  <c r="F5" i="4"/>
  <c r="F6" i="4"/>
  <c r="C5" i="11"/>
  <c r="C20" i="11" s="1"/>
  <c r="C21" i="11" s="1"/>
  <c r="C14" i="11"/>
  <c r="E14" i="11"/>
  <c r="C26" i="11"/>
  <c r="C31" i="11" s="1"/>
  <c r="K3" i="1"/>
  <c r="K4" i="1"/>
  <c r="G19" i="3"/>
  <c r="F19" i="3"/>
  <c r="C19" i="3"/>
  <c r="D19" i="3"/>
  <c r="C13" i="10"/>
  <c r="C14" i="10"/>
  <c r="C24" i="9"/>
  <c r="C25" i="9" s="1"/>
  <c r="F10" i="4" l="1"/>
  <c r="D6" i="4"/>
  <c r="D10" i="4" s="1"/>
  <c r="E15" i="11"/>
  <c r="C9" i="9"/>
  <c r="C10" i="9" s="1"/>
  <c r="C17" i="9"/>
  <c r="K18" i="1"/>
  <c r="C17" i="10"/>
  <c r="K19" i="1" s="1"/>
  <c r="C22" i="8"/>
  <c r="D22" i="1"/>
  <c r="F22" i="1" s="1"/>
  <c r="D5" i="4"/>
  <c r="D9" i="4" s="1"/>
  <c r="F9" i="4"/>
  <c r="C15" i="11"/>
  <c r="E17" i="9"/>
  <c r="D4" i="2"/>
  <c r="D3" i="2"/>
  <c r="E22" i="8" l="1"/>
  <c r="E25" i="8" s="1"/>
  <c r="D28" i="1" s="1"/>
  <c r="C25" i="8"/>
  <c r="D9" i="2"/>
  <c r="C11" i="9"/>
  <c r="C12" i="9" s="1"/>
  <c r="C18" i="9"/>
  <c r="E18" i="9"/>
  <c r="E19" i="9"/>
  <c r="C19" i="9"/>
  <c r="G23" i="2" l="1"/>
  <c r="F23" i="2"/>
  <c r="E23" i="2"/>
  <c r="K23" i="2"/>
  <c r="J23" i="2"/>
  <c r="I23" i="2"/>
  <c r="H23" i="2"/>
  <c r="C20" i="9"/>
  <c r="C21" i="9" s="1"/>
  <c r="E20" i="9"/>
  <c r="E21" i="9" s="1"/>
  <c r="K16" i="1" s="1"/>
  <c r="G25" i="2" l="1"/>
  <c r="G26" i="2"/>
  <c r="F26" i="2"/>
  <c r="F25" i="2"/>
  <c r="E25" i="2"/>
  <c r="E26" i="2"/>
  <c r="K26" i="2"/>
  <c r="K25" i="2"/>
  <c r="D37" i="2"/>
  <c r="J26" i="2"/>
  <c r="J25" i="2"/>
  <c r="D35" i="2"/>
  <c r="I25" i="2"/>
  <c r="I26" i="2"/>
  <c r="D33" i="2"/>
  <c r="D38" i="2"/>
  <c r="D34" i="2"/>
  <c r="H26" i="2"/>
  <c r="P5" i="2" s="1"/>
  <c r="H25" i="2"/>
  <c r="H28" i="2" s="1"/>
  <c r="D36" i="2"/>
  <c r="K17" i="1"/>
  <c r="P4" i="2" l="1"/>
  <c r="J27" i="2"/>
  <c r="N7" i="2" s="1"/>
  <c r="E37" i="2"/>
  <c r="E35" i="2"/>
  <c r="E33" i="2"/>
  <c r="F27" i="2"/>
  <c r="F28" i="2"/>
  <c r="K28" i="2"/>
  <c r="K27" i="2"/>
  <c r="G27" i="2"/>
  <c r="G28" i="2"/>
  <c r="E27" i="2"/>
  <c r="E28" i="2"/>
  <c r="J28" i="2"/>
  <c r="N4" i="2"/>
  <c r="I20" i="16" s="1"/>
  <c r="I21" i="16" s="1"/>
  <c r="H27" i="2"/>
  <c r="N5" i="2"/>
  <c r="L20" i="16" s="1"/>
  <c r="L21" i="16" s="1"/>
  <c r="I28" i="2"/>
  <c r="I27" i="2"/>
  <c r="D25" i="16"/>
  <c r="D31" i="16"/>
  <c r="J23" i="3"/>
  <c r="J28" i="3" s="1"/>
  <c r="D22" i="3" s="1"/>
  <c r="P8" i="2"/>
  <c r="P23" i="3" s="1"/>
  <c r="P28" i="3" s="1"/>
  <c r="T20" i="3" s="1"/>
  <c r="F21" i="3" s="1"/>
  <c r="D12" i="5"/>
  <c r="D14" i="5" s="1"/>
  <c r="D15" i="5" s="1"/>
  <c r="D9" i="5"/>
  <c r="D11" i="5" s="1"/>
  <c r="L22" i="16" l="1"/>
  <c r="L23" i="16" s="1"/>
  <c r="L24" i="16" s="1"/>
  <c r="L25" i="16" s="1"/>
  <c r="L26" i="16" s="1"/>
  <c r="H13" i="16" s="1"/>
  <c r="L27" i="16"/>
  <c r="L28" i="16" s="1"/>
  <c r="L29" i="16" s="1"/>
  <c r="L30" i="16" s="1"/>
  <c r="L31" i="16" s="1"/>
  <c r="J13" i="16" s="1"/>
  <c r="I27" i="16"/>
  <c r="I28" i="16" s="1"/>
  <c r="I29" i="16" s="1"/>
  <c r="I30" i="16" s="1"/>
  <c r="I31" i="16" s="1"/>
  <c r="J12" i="16" s="1"/>
  <c r="I22" i="16"/>
  <c r="I23" i="16" s="1"/>
  <c r="I24" i="16" s="1"/>
  <c r="I25" i="16" s="1"/>
  <c r="I26" i="16" s="1"/>
  <c r="H12" i="16" s="1"/>
  <c r="T19" i="16"/>
  <c r="D19" i="16"/>
  <c r="N8" i="2"/>
  <c r="N23" i="3" s="1"/>
  <c r="N28" i="3" s="1"/>
  <c r="P7" i="2"/>
  <c r="L23" i="3" s="1"/>
  <c r="L28" i="3" s="1"/>
  <c r="G22" i="3" s="1"/>
  <c r="D37" i="16"/>
  <c r="D35" i="16"/>
  <c r="J5" i="16" s="1"/>
  <c r="P13" i="2" s="1"/>
  <c r="D32" i="16"/>
  <c r="D33" i="16" s="1"/>
  <c r="D34" i="16" s="1"/>
  <c r="J8" i="16" s="1"/>
  <c r="P16" i="2" s="1"/>
  <c r="D29" i="16"/>
  <c r="H4" i="16" s="1"/>
  <c r="N12" i="2" s="1"/>
  <c r="D26" i="16"/>
  <c r="D27" i="16" s="1"/>
  <c r="D28" i="16" s="1"/>
  <c r="H7" i="16" s="1"/>
  <c r="N15" i="2" s="1"/>
  <c r="G23" i="3"/>
  <c r="T25" i="16" l="1"/>
  <c r="T24" i="16"/>
  <c r="D23" i="16"/>
  <c r="H5" i="16" s="1"/>
  <c r="N13" i="2" s="1"/>
  <c r="Q19" i="16"/>
  <c r="D20" i="16"/>
  <c r="D21" i="16" s="1"/>
  <c r="D23" i="3"/>
  <c r="R20" i="3"/>
  <c r="C21" i="3" s="1"/>
  <c r="D38" i="16"/>
  <c r="D39" i="16" s="1"/>
  <c r="D40" i="16" s="1"/>
  <c r="J7" i="16" s="1"/>
  <c r="P15" i="2" s="1"/>
  <c r="D41" i="16"/>
  <c r="J4" i="16" s="1"/>
  <c r="P12" i="2" s="1"/>
  <c r="Q25" i="16" l="1"/>
  <c r="Q24" i="16"/>
  <c r="D22" i="16"/>
  <c r="H8" i="16" s="1"/>
  <c r="N16" i="2" s="1"/>
</calcChain>
</file>

<file path=xl/sharedStrings.xml><?xml version="1.0" encoding="utf-8"?>
<sst xmlns="http://schemas.openxmlformats.org/spreadsheetml/2006/main" count="1179" uniqueCount="602">
  <si>
    <t>Dimensions</t>
  </si>
  <si>
    <t>Wheelbase</t>
  </si>
  <si>
    <t>Ride Height</t>
  </si>
  <si>
    <t>Mass + CG</t>
  </si>
  <si>
    <t>CG Height (Vehicle + Driver)</t>
  </si>
  <si>
    <t>Front Roll Center (RC) Height</t>
  </si>
  <si>
    <t>Rear Roll Center (RC) Height</t>
  </si>
  <si>
    <t>Vehicle Weight</t>
  </si>
  <si>
    <t>Driver Weight</t>
  </si>
  <si>
    <t>Total Weight (w/ Driver)</t>
  </si>
  <si>
    <t>Unsprung Corner Weight (Front)</t>
  </si>
  <si>
    <t>Unsprung Corner Weight (Rear)</t>
  </si>
  <si>
    <t>Motion Ratios</t>
  </si>
  <si>
    <t>Rear ARB Motion Ratio</t>
  </si>
  <si>
    <t>Front ARB Motion Ratio</t>
  </si>
  <si>
    <t>Rear Rocker Motion Ratio</t>
  </si>
  <si>
    <t>Front Rocker Motion Ratio</t>
  </si>
  <si>
    <t>LLTD</t>
  </si>
  <si>
    <t>Lateral Load Transfer Distribution</t>
  </si>
  <si>
    <t>Kinematics</t>
  </si>
  <si>
    <t>Anti-Dive</t>
  </si>
  <si>
    <t>Anti-Squat</t>
  </si>
  <si>
    <t>Rates</t>
  </si>
  <si>
    <t>Roll</t>
  </si>
  <si>
    <t>Frequency</t>
  </si>
  <si>
    <t>Roll Gradient (Lower Bound)</t>
  </si>
  <si>
    <t>Roll Gradient (Upper Bound)</t>
  </si>
  <si>
    <t>Front Ride Frequency</t>
  </si>
  <si>
    <t>Rear Ride Frequency</t>
  </si>
  <si>
    <t>Front Wheel Rate</t>
  </si>
  <si>
    <t>Rear Wheel Rate</t>
  </si>
  <si>
    <t>Front Spring Rate</t>
  </si>
  <si>
    <t>Rear Spring Rate</t>
  </si>
  <si>
    <t>Tire Rate</t>
  </si>
  <si>
    <t>Total Spring + Tire Roll Rate</t>
  </si>
  <si>
    <t>Highest Front Anti-Roll Torque</t>
  </si>
  <si>
    <t>Lowest Front Anti-Roll Torque</t>
  </si>
  <si>
    <t>Highest Rear Anti-Roll Torque</t>
  </si>
  <si>
    <t>Lowest Rear Anti-Roll Torque</t>
  </si>
  <si>
    <t>Desired Roll Rate</t>
  </si>
  <si>
    <t>Desired Total Roll Gradient</t>
  </si>
  <si>
    <t>Desired Roll Rate (imp.)</t>
  </si>
  <si>
    <t xml:space="preserve">Total Required ARB Roll Rate </t>
  </si>
  <si>
    <t>Front ARB Rate</t>
  </si>
  <si>
    <t>Rear ARB Rate</t>
  </si>
  <si>
    <t>Cornering</t>
  </si>
  <si>
    <t>Brake</t>
  </si>
  <si>
    <t>Acceleration</t>
  </si>
  <si>
    <t>Accel / Corner</t>
  </si>
  <si>
    <t>FLF</t>
  </si>
  <si>
    <t>FLR</t>
  </si>
  <si>
    <t>FUF</t>
  </si>
  <si>
    <t>FUR</t>
  </si>
  <si>
    <t>STL</t>
  </si>
  <si>
    <t>FPL</t>
  </si>
  <si>
    <t>F_SHK</t>
  </si>
  <si>
    <t>RLF</t>
  </si>
  <si>
    <t>RLR</t>
  </si>
  <si>
    <t>RUF</t>
  </si>
  <si>
    <t>RUR</t>
  </si>
  <si>
    <t>RPL</t>
  </si>
  <si>
    <t>R_SHK</t>
  </si>
  <si>
    <t>MAX</t>
  </si>
  <si>
    <t>Front (lbf)</t>
  </si>
  <si>
    <t>Rear (lbf)</t>
  </si>
  <si>
    <t>Load Transfer</t>
  </si>
  <si>
    <t>Upper Bound Fz</t>
  </si>
  <si>
    <t>SA (rad)</t>
  </si>
  <si>
    <t>Fy</t>
  </si>
  <si>
    <t>SA (deg)</t>
  </si>
  <si>
    <t>Lower Bound Stiffness</t>
  </si>
  <si>
    <t>Upper Bound Stiffness</t>
  </si>
  <si>
    <t>x</t>
  </si>
  <si>
    <t>in</t>
  </si>
  <si>
    <t>m</t>
  </si>
  <si>
    <t>lbf</t>
  </si>
  <si>
    <t>N</t>
  </si>
  <si>
    <t>-</t>
  </si>
  <si>
    <t>%</t>
  </si>
  <si>
    <t>deg</t>
  </si>
  <si>
    <t>deg/g</t>
  </si>
  <si>
    <t>Hz</t>
  </si>
  <si>
    <t>lbf/in</t>
  </si>
  <si>
    <t>N/m</t>
  </si>
  <si>
    <t>ARB Rates</t>
  </si>
  <si>
    <t>TOTAL
Anti-Roll
Torque</t>
  </si>
  <si>
    <t>ft-lbs/deg</t>
  </si>
  <si>
    <t>Nm/deg</t>
  </si>
  <si>
    <t>Nm/deg roll</t>
  </si>
  <si>
    <t>STIFFEST</t>
  </si>
  <si>
    <t>SOFTEST</t>
  </si>
  <si>
    <t>Total Vehicle Mass</t>
  </si>
  <si>
    <t>kg</t>
  </si>
  <si>
    <t>lbm</t>
  </si>
  <si>
    <t>Front Corner Mass</t>
  </si>
  <si>
    <t>Rear Corner Mass</t>
  </si>
  <si>
    <t>Suspended Mass</t>
  </si>
  <si>
    <t>Unsprung Mass</t>
  </si>
  <si>
    <t>Sprung Yaw Inertia (kg *m/s^2)</t>
  </si>
  <si>
    <t>Sprung Roll Inertia (kg *m/s^2)</t>
  </si>
  <si>
    <t>Sprung Pitch Inertia (kg *m/s^2)</t>
  </si>
  <si>
    <t>Inertia Box Z (m)</t>
  </si>
  <si>
    <t>Inertia Box X (m)</t>
  </si>
  <si>
    <t>Inertia Box Y (m)</t>
  </si>
  <si>
    <t>I_yaw = 1.03W-1206</t>
  </si>
  <si>
    <t>I_roll = 0.18W-150</t>
  </si>
  <si>
    <t>I_pitch = 0.99W-1149</t>
  </si>
  <si>
    <t>Spring Rate (kg/mm)</t>
  </si>
  <si>
    <t>Bump (lbf/in/s)</t>
  </si>
  <si>
    <t>Rebound (lbf/in/s)</t>
  </si>
  <si>
    <t>Fast Bump (lbf/in/s)</t>
  </si>
  <si>
    <t>Fast Rebound (lbf/in/s)</t>
  </si>
  <si>
    <t>Wheel Rate (N/m)</t>
  </si>
  <si>
    <t>Wheel Bump (N/m/s)</t>
  </si>
  <si>
    <t>Wheel Rebound (N/m/s)</t>
  </si>
  <si>
    <t>Wheel Fast Bump (N/m/s)</t>
  </si>
  <si>
    <t>Wheel Fast Rebound (N/m/s)</t>
  </si>
  <si>
    <t>Fast Bump Transition (in/s)</t>
  </si>
  <si>
    <t>Fast Rebound Transition (in/s)</t>
  </si>
  <si>
    <t>Spring Rate (N/m)</t>
  </si>
  <si>
    <t>Bump (N/m/s)</t>
  </si>
  <si>
    <t>Rebound (N/m/s)</t>
  </si>
  <si>
    <t>Fast Bump (N/m/s)</t>
  </si>
  <si>
    <t>Fast Rebound (N/m/s)</t>
  </si>
  <si>
    <t>Front Ride Frequency (Hz)</t>
  </si>
  <si>
    <t>Bump Damping Ratio</t>
  </si>
  <si>
    <t>Rebound Damping Ratio</t>
  </si>
  <si>
    <t>Fast Bump Damping Ratio</t>
  </si>
  <si>
    <t>Fast Rebound Damping Ratio</t>
  </si>
  <si>
    <t>Avgerage Damping Ratio</t>
  </si>
  <si>
    <t>Fast Bump Transition (m/s)</t>
  </si>
  <si>
    <t>Fast Rebound Transition (m/s)</t>
  </si>
  <si>
    <t>Motion Ratio</t>
  </si>
  <si>
    <t>Average Damping Ratio</t>
  </si>
  <si>
    <t>Lower Bound Fz</t>
  </si>
  <si>
    <t>PARAMETERS</t>
  </si>
  <si>
    <t>RATES</t>
  </si>
  <si>
    <t>ARB STIFFNESS</t>
  </si>
  <si>
    <t>MASS</t>
  </si>
  <si>
    <t>INERTIAS</t>
  </si>
  <si>
    <t>FRONT DAMPING</t>
  </si>
  <si>
    <t>REAR DAMPING</t>
  </si>
  <si>
    <t>LINK LOADS</t>
  </si>
  <si>
    <t>TIRES</t>
  </si>
  <si>
    <t>CORNERING STIFFNESS</t>
  </si>
  <si>
    <t>Min.</t>
  </si>
  <si>
    <t>Max.</t>
  </si>
  <si>
    <t>Weight Distribution (% Front)</t>
  </si>
  <si>
    <t>Front Track Width</t>
  </si>
  <si>
    <t>Rear Track Width</t>
  </si>
  <si>
    <t>Caster (Front)</t>
  </si>
  <si>
    <t>Caster (Rear)</t>
  </si>
  <si>
    <t>Steering Arm Length</t>
  </si>
  <si>
    <t>Ackermann</t>
  </si>
  <si>
    <t>Mechanical Trail</t>
  </si>
  <si>
    <t>Torque from Mechanical Trail</t>
  </si>
  <si>
    <t>Caster</t>
  </si>
  <si>
    <t>KPIA</t>
  </si>
  <si>
    <t>Front</t>
  </si>
  <si>
    <t>Rear</t>
  </si>
  <si>
    <t>Nm</t>
  </si>
  <si>
    <t>VSAL</t>
  </si>
  <si>
    <t>Camber Gain in Heave</t>
  </si>
  <si>
    <t>Camber Gain in Roll</t>
  </si>
  <si>
    <t>deg/in</t>
  </si>
  <si>
    <t>deg/deg Roll</t>
  </si>
  <si>
    <t>VEHICLE PARAMETERS</t>
  </si>
  <si>
    <t>OUTBOARD POINTS</t>
  </si>
  <si>
    <t>STEERING</t>
  </si>
  <si>
    <t>ACKERMANN</t>
  </si>
  <si>
    <t>CAMBER GAIN AND INSTANT CENTERS</t>
  </si>
  <si>
    <t>ROLL CENTERS</t>
  </si>
  <si>
    <t>ANTI-GEOMETRY</t>
  </si>
  <si>
    <t>KINEMATICS</t>
  </si>
  <si>
    <t>Total Sprung Weight (w/ Driver)</t>
  </si>
  <si>
    <t>Front / Total</t>
  </si>
  <si>
    <t>Springs 
Anti-Roll 
Torque</t>
  </si>
  <si>
    <t>Tires Anti-Roll Torque</t>
  </si>
  <si>
    <t>Total Roll Rate</t>
  </si>
  <si>
    <t>Roll Gradients 
+
Roll Rates</t>
  </si>
  <si>
    <t>Note: This assumes a max lateral acceleration of 2.3g</t>
  </si>
  <si>
    <t>Note: aka Front Roll Rate due to Springs</t>
  </si>
  <si>
    <t>Note: aka Rear Roll Rate due to Springs</t>
  </si>
  <si>
    <t>Note: aka Front Roll Rate due to Tires</t>
  </si>
  <si>
    <t>Note: aka Rear Roll Rate due to Tires</t>
  </si>
  <si>
    <t>Anti-Roll Torque from Front Springs</t>
  </si>
  <si>
    <t>Anti-Roll Torque from Rear Springs</t>
  </si>
  <si>
    <t>Anti-Roll Torque from Front Tires</t>
  </si>
  <si>
    <t>Anti-Roll Torque from Rear Tires</t>
  </si>
  <si>
    <t>k</t>
  </si>
  <si>
    <t>Scrub Radius</t>
  </si>
  <si>
    <t>Magic Number</t>
  </si>
  <si>
    <t>Nm/deg twist</t>
  </si>
  <si>
    <t>LATERAL LOAD TRANSFER DISTRIBUTION (LLTD)</t>
  </si>
  <si>
    <t>Max-Front  x  Min-Rear</t>
  </si>
  <si>
    <t>Min-Front  x  Max-Rear</t>
  </si>
  <si>
    <t>Roll Gradient</t>
  </si>
  <si>
    <t>Min Anti-Roll Torque from Front ARB</t>
  </si>
  <si>
    <t>Max Anti-Roll Torque from Rear ARB</t>
  </si>
  <si>
    <t>Min Anti-Roll Torque from Rear ARB</t>
  </si>
  <si>
    <t>Max Anti-Roll Torque from Front ARB</t>
  </si>
  <si>
    <t>LLTD Bounds</t>
  </si>
  <si>
    <t>Note: aka Min Front Roll Rate due to Front ARB</t>
  </si>
  <si>
    <t>Note: aka Max Front Roll Rate due to Front ARB</t>
  </si>
  <si>
    <t>Note: aka Min Front Roll Rate due to Rear ARB</t>
  </si>
  <si>
    <t>Note: aka Max Front Roll Rate due to Rear ARB</t>
  </si>
  <si>
    <t>ROLL STIFFNESS FROM SPRINGS, TIRES, ARB</t>
  </si>
  <si>
    <t>Setup (Roll Gradient)</t>
  </si>
  <si>
    <t>RIDE FREQUENCY, WHEEL RATE, SPRING RATE, MOTION RATIO</t>
  </si>
  <si>
    <t>RF</t>
  </si>
  <si>
    <t>3. Set arbitrary Motion Ratios (MR)</t>
  </si>
  <si>
    <t>4. Calculate Spring Rates (k)</t>
  </si>
  <si>
    <t>Note: This sheet yields the Spring Rates needed to achieve the Ride Frequencies by allowing Motion Ratio tuning</t>
  </si>
  <si>
    <t>Available Hyperco Spring Rates: 150, 175, 200, 225, 250, 300, 350, 400, 450 lbs/in</t>
  </si>
  <si>
    <t>Note: aka Min Total Front Roll Rate</t>
  </si>
  <si>
    <t>Note: aka Max Total Front Roll Rate</t>
  </si>
  <si>
    <t>Note: aka Min Total Rear Roll Rate</t>
  </si>
  <si>
    <t>Note: aka Max Total Rear Roll Rate</t>
  </si>
  <si>
    <t>TL</t>
  </si>
  <si>
    <t>Steering Rack Trail</t>
  </si>
  <si>
    <t>in-lbf</t>
  </si>
  <si>
    <t>Note: Calculated in and referenced from `RF, K, k, MR` Sheet</t>
  </si>
  <si>
    <t>∆CH_Roll / ∆ARB_Twist 
(deg / deg)</t>
  </si>
  <si>
    <t>Brake / Corner</t>
  </si>
  <si>
    <t>SU26 LINK LOADS</t>
  </si>
  <si>
    <t>Estimated 1st Magic Number</t>
  </si>
  <si>
    <t>SU26 ARB STIFFNESS</t>
  </si>
  <si>
    <t>Comments</t>
  </si>
  <si>
    <t>✓</t>
  </si>
  <si>
    <t>✕</t>
  </si>
  <si>
    <t>Front Push Link (FPL)</t>
  </si>
  <si>
    <t>Rear Push Link (RPL)</t>
  </si>
  <si>
    <t>m_corner</t>
  </si>
  <si>
    <t>θ_FPL</t>
  </si>
  <si>
    <t>θ_RPL</t>
  </si>
  <si>
    <t>F_FPL</t>
  </si>
  <si>
    <t>F_RPL</t>
  </si>
  <si>
    <t>d_FPL</t>
  </si>
  <si>
    <t>d_FSHK</t>
  </si>
  <si>
    <t>d_FDL</t>
  </si>
  <si>
    <t>d_RPL</t>
  </si>
  <si>
    <t>d_RSHK</t>
  </si>
  <si>
    <t>d_RDL</t>
  </si>
  <si>
    <t>F_FSHK</t>
  </si>
  <si>
    <t>F_RSHK</t>
  </si>
  <si>
    <t>CG Height</t>
  </si>
  <si>
    <t>BUMP STEER</t>
  </si>
  <si>
    <t>Bump Steer in Heave</t>
  </si>
  <si>
    <t>Bump Steer in Rebound</t>
  </si>
  <si>
    <t>Bump Steer in Roll</t>
  </si>
  <si>
    <t>Note:</t>
  </si>
  <si>
    <t>Roll Center Height (Ground)</t>
  </si>
  <si>
    <t>Note: ARG25 Measured</t>
  </si>
  <si>
    <t>Rule: Scraping</t>
  </si>
  <si>
    <t>Rule: 75% of TW_MAX</t>
  </si>
  <si>
    <t>Rule: 60.039in MIN</t>
  </si>
  <si>
    <t>Name</t>
  </si>
  <si>
    <t>Value</t>
  </si>
  <si>
    <t>Units</t>
  </si>
  <si>
    <t>Imperial</t>
  </si>
  <si>
    <t>Metric</t>
  </si>
  <si>
    <t>Note: Does not consider Aero</t>
  </si>
  <si>
    <t>Note: From Hoosier</t>
  </si>
  <si>
    <t>FARB_DL</t>
  </si>
  <si>
    <t>RARB_DL</t>
  </si>
  <si>
    <t>FSHK</t>
  </si>
  <si>
    <t>RSHK</t>
  </si>
  <si>
    <t>Front Shock (FSHK)</t>
  </si>
  <si>
    <t>Rear Shock (RSHK)</t>
  </si>
  <si>
    <t>Front Drop-Link (FDL)</t>
  </si>
  <si>
    <t>Rear Drop-Link (RDL)</t>
  </si>
  <si>
    <t>k_FARB</t>
  </si>
  <si>
    <t>k_RARB</t>
  </si>
  <si>
    <t>δ_FARB</t>
  </si>
  <si>
    <t>δ_RARB</t>
  </si>
  <si>
    <t>F_FDL</t>
  </si>
  <si>
    <t>F_RDL</t>
  </si>
  <si>
    <t>MR_FARB</t>
  </si>
  <si>
    <t>MR_RARB</t>
  </si>
  <si>
    <t>∆Wheel / ∆Shock
(in / in)</t>
  </si>
  <si>
    <t>Steering Torque</t>
  </si>
  <si>
    <t>Bump Steer in Heave (Front)</t>
  </si>
  <si>
    <t>Bump Steer in Heave (Rear)</t>
  </si>
  <si>
    <t>Camber Gain in Corner (Rear)</t>
  </si>
  <si>
    <t>Camber Gain in Corner (Front)</t>
  </si>
  <si>
    <t>Camber Gain in Brake (Front)</t>
  </si>
  <si>
    <t>Camber Gain in Brake (Rear)</t>
  </si>
  <si>
    <t>θ_roll,max</t>
  </si>
  <si>
    <t>Front ARB Rate (ft-lbs/deg roll)</t>
  </si>
  <si>
    <t>Front ARB Rate (ft-lbs/deg twist)</t>
  </si>
  <si>
    <t>Rear ARB Rate (ft-lbs/deg roll)</t>
  </si>
  <si>
    <t>Rear ARB Rate (ft-lbs/deg twist)</t>
  </si>
  <si>
    <t>Note: "ft-lbs / deg roll" represents torque to be applied to ARB when chassis rolls by 1 deg</t>
  </si>
  <si>
    <t>Note: "ft-lbs / deg twist" represents torque to be applied to ARB when bar twists by 1 deg</t>
  </si>
  <si>
    <t>5. Adjust Motion Ratios such that highlighted Spring Rates match available Spring Rates (utilize quasi-Dynamic CAD)</t>
  </si>
  <si>
    <t>θ_FSHK</t>
  </si>
  <si>
    <t>θ_FDL</t>
  </si>
  <si>
    <t>θ_RSHK</t>
  </si>
  <si>
    <t>θ_RDL</t>
  </si>
  <si>
    <t>Compressive Loading</t>
  </si>
  <si>
    <t>Tensile Loading</t>
  </si>
  <si>
    <t>Link</t>
  </si>
  <si>
    <t>Compression</t>
  </si>
  <si>
    <t>Tension</t>
  </si>
  <si>
    <t>Compressive and Tensile Loads from OptimmumK (Visualzation of Force Vectors)</t>
  </si>
  <si>
    <t>Notes</t>
  </si>
  <si>
    <t>θ_STL</t>
  </si>
  <si>
    <t>a_bump (g)</t>
  </si>
  <si>
    <t>F_STL</t>
  </si>
  <si>
    <t>F_TL</t>
  </si>
  <si>
    <t>θ_TL</t>
  </si>
  <si>
    <t>Toe Link (TL)</t>
  </si>
  <si>
    <t>Steering Link (STL)</t>
  </si>
  <si>
    <t>F_corner</t>
  </si>
  <si>
    <t>a_long,brake (g)</t>
  </si>
  <si>
    <t>d_STA,STO</t>
  </si>
  <si>
    <t>d_STA,MCG</t>
  </si>
  <si>
    <t>d_STA,TO</t>
  </si>
  <si>
    <t>SHOCK LOADS (lbf)</t>
  </si>
  <si>
    <t>STEERING &amp; TOE LINK LOAD ADDITION (lbf)</t>
  </si>
  <si>
    <t>~</t>
  </si>
  <si>
    <t>m_quarterCar</t>
  </si>
  <si>
    <t>PUSH LINK LOAD ADDITION (lbf)</t>
  </si>
  <si>
    <t>Mechanical Trail (Front)</t>
  </si>
  <si>
    <t>Braking</t>
  </si>
  <si>
    <t>ACCELERATION CASES</t>
  </si>
  <si>
    <t>Acceleration + Cornering</t>
  </si>
  <si>
    <t>g</t>
  </si>
  <si>
    <t>Lateral</t>
  </si>
  <si>
    <t>Longitudinal</t>
  </si>
  <si>
    <t>Acceleration Case</t>
  </si>
  <si>
    <t>Braking + Cornering</t>
  </si>
  <si>
    <t>(+) Lateral = LH Turn
(+) Longitudinal = Acceleration</t>
  </si>
  <si>
    <t>Bump (only in Z)</t>
  </si>
  <si>
    <t>Pitch</t>
  </si>
  <si>
    <t>Understeer</t>
  </si>
  <si>
    <t>GRADIENTS (ROLL, PITCH, UNDERSTEER)</t>
  </si>
  <si>
    <t>PITCH CENTER (GROUND)</t>
  </si>
  <si>
    <t>Lateral Acceleration (A_y)</t>
  </si>
  <si>
    <t>Weight Bias</t>
  </si>
  <si>
    <t>Track Width</t>
  </si>
  <si>
    <t>Longitudinal Load Transfer</t>
  </si>
  <si>
    <t>Longitudinal Acceleration (A_x)</t>
  </si>
  <si>
    <t>Longitudinal Load Transfer to Wheel</t>
  </si>
  <si>
    <t>Longitudinal Force Per Wheel</t>
  </si>
  <si>
    <t>Vertical Acceleration (A_z)</t>
  </si>
  <si>
    <t>Weight due to Lateral Load (per wheel)</t>
  </si>
  <si>
    <t>Vertical Force Per Wheel</t>
  </si>
  <si>
    <t>LATERAL LOAD TRANSFER</t>
  </si>
  <si>
    <t>LONGITUDINAL LOAD TRANSFER</t>
  </si>
  <si>
    <t>VERTICAL FORCE</t>
  </si>
  <si>
    <t>No Aero</t>
  </si>
  <si>
    <t>With Aero</t>
  </si>
  <si>
    <t>OPTIMUM KINEMATICS OUTPUTS (FRONT)</t>
  </si>
  <si>
    <t>OPTIMUM KINEMATICS OUTPUTS (REAR)</t>
  </si>
  <si>
    <t>Max Front Compression</t>
  </si>
  <si>
    <t>Vehicle Dive Angle</t>
  </si>
  <si>
    <t>Front Axle Load</t>
  </si>
  <si>
    <t>Rear Axle Load</t>
  </si>
  <si>
    <t>Vehicle Mass</t>
  </si>
  <si>
    <t>W_f</t>
  </si>
  <si>
    <t>W_r</t>
  </si>
  <si>
    <t>N/deg</t>
  </si>
  <si>
    <t>UNDERSTEER GRADIENT</t>
  </si>
  <si>
    <t>Note: These calculations are based on a bicycle model</t>
  </si>
  <si>
    <t xml:space="preserve">Tire mu </t>
  </si>
  <si>
    <t>TOTAL LATERAL LOAD TRANSFER</t>
  </si>
  <si>
    <t>CORNERING LOADS (LATERAL)</t>
  </si>
  <si>
    <t>(m_sprung * A_y * 9.8 * h_CG)/(TrackWidth)</t>
  </si>
  <si>
    <t>Stiffness (lbf/deg)</t>
  </si>
  <si>
    <t>Stiffness (N/deg)</t>
  </si>
  <si>
    <t>Understeer Gradient (min)</t>
  </si>
  <si>
    <t>Understeer Gradient (max)</t>
  </si>
  <si>
    <t>Front Cornering Stiffness (min)</t>
  </si>
  <si>
    <t>Rear Cornering Stiffness (max)</t>
  </si>
  <si>
    <t>Front Cornering Stiffness (max)</t>
  </si>
  <si>
    <t>Rear Cornering Stiffness (min)</t>
  </si>
  <si>
    <t>C_f,min</t>
  </si>
  <si>
    <t>C_r,max</t>
  </si>
  <si>
    <t>C_f,max</t>
  </si>
  <si>
    <t>C_r,min</t>
  </si>
  <si>
    <t>CG to FrontAxle Distance</t>
  </si>
  <si>
    <t>CG to RearAxle Distance</t>
  </si>
  <si>
    <t>WB</t>
  </si>
  <si>
    <t>x_f</t>
  </si>
  <si>
    <t>x_r</t>
  </si>
  <si>
    <t>K_u
=
(W_f / C_f) 
–
(W_r / C_r)</t>
  </si>
  <si>
    <t>Note: Max-min W, Max-min C</t>
  </si>
  <si>
    <t>CRITICAL SPEED</t>
  </si>
  <si>
    <t>Critical Speed</t>
  </si>
  <si>
    <t>m/s</t>
  </si>
  <si>
    <t>Static Vehicle Weight per Wheel</t>
  </si>
  <si>
    <t>((WeightBias 
* 
(m_sprung * A_y * 9.8 * h_CG)/(TrackWidth)) 
+ 
0.25(m_total * 9.8))
*
TireMu</t>
  </si>
  <si>
    <t>Note: This is the maximum lateral cornering load under 2.30g of lateral acceleration</t>
  </si>
  <si>
    <t>Lateral Load
Transfer</t>
  </si>
  <si>
    <t>Max Cornering Load</t>
  </si>
  <si>
    <t>Pitch Gradient</t>
  </si>
  <si>
    <t>Understeer Gradient</t>
  </si>
  <si>
    <t>Note: Based on LLTD Bounds</t>
  </si>
  <si>
    <t>Total Lateral Load Transfer</t>
  </si>
  <si>
    <t>Lateral Load Transfer (Front)</t>
  </si>
  <si>
    <t>Lateral Load Transfer (Rear)</t>
  </si>
  <si>
    <t>Lateral Force per Wheel (Front)</t>
  </si>
  <si>
    <t>Lateral Force per Wheel (Rear)</t>
  </si>
  <si>
    <t>Note: Despite ARG26 having a 50-50 weight bias (and equal front-rear track widths),</t>
  </si>
  <si>
    <t>Pitch Moment</t>
  </si>
  <si>
    <t>Pitch Stiffness</t>
  </si>
  <si>
    <t>K_θ,pitch = M_pitch / K_pitch</t>
  </si>
  <si>
    <t>Max Rear Decompression</t>
  </si>
  <si>
    <t>Dive/Squat Angle</t>
  </si>
  <si>
    <t>PITCH GRADIENT (SRM)</t>
  </si>
  <si>
    <t>PITCH GRADIENT (Compression / Decompression)</t>
  </si>
  <si>
    <t>PITCH GRADIENT (OptimumG)</t>
  </si>
  <si>
    <t>x  (PC_x)</t>
  </si>
  <si>
    <t>y  (PC_y)</t>
  </si>
  <si>
    <t>z  (PC_z)</t>
  </si>
  <si>
    <t>Note: Page 775, OptimumG VD Binder</t>
  </si>
  <si>
    <t>Dive (Brake)</t>
  </si>
  <si>
    <t>Squat (Accel)</t>
  </si>
  <si>
    <t>Note: Does not account for tire compression</t>
  </si>
  <si>
    <t>Note: Due to ARG26's 50-50 weight bias, longitudinal load transfer between front</t>
  </si>
  <si>
    <t>and rear is equal (and opposite)</t>
  </si>
  <si>
    <t>Note: This does NOT use the equation (A_y * m_car * WeightBias)</t>
  </si>
  <si>
    <t>Note: From OptTire</t>
  </si>
  <si>
    <t>SHEETS</t>
  </si>
  <si>
    <t>DESCRIPTION</t>
  </si>
  <si>
    <t>SU26 PARAMETERS &amp; ANALYSIS</t>
  </si>
  <si>
    <t>Link Loads</t>
  </si>
  <si>
    <t>Roll Rates</t>
  </si>
  <si>
    <t>RF, K, k, MR</t>
  </si>
  <si>
    <t>Aero Clearance</t>
  </si>
  <si>
    <t>Tires</t>
  </si>
  <si>
    <t>Z - Damping</t>
  </si>
  <si>
    <t>The Suspension Parameters and Analysis Spreadsheet serves as the central reference for all suspension system parameters and acts as the primary location for system design decisions (excluding kinematics). It contains comprehensive information on suspension parameters, rates, stiffnesses, loads, and other key characteristics that define the suspension system’s  behavior. Many of the values contained within this document are relevant not only to suspension part designers but also to members of other subteams whose components interface with the suspension. For all practical purposes, the Suspension Parameters and Analysis Spreadsheet functions as the “source of truth” for all suspension parameters and load cases.</t>
  </si>
  <si>
    <t>Sujan Munver (srm326) – ARG26 Suspension Lead</t>
  </si>
  <si>
    <t>ARG26 SUSPENSION</t>
  </si>
  <si>
    <t>Parameters and Rates</t>
  </si>
  <si>
    <t>•  Ride Frequency, Wheel Rate, Spring Rate, Motion Ratio
•  Yields the Spring Rates needed to achieve the Ride 
    Frequencies by allowing Motion Ratio tuning</t>
  </si>
  <si>
    <t>•  Calculates Understeer Gradient and Critical Speed</t>
  </si>
  <si>
    <t>•  Calculates max permissable Roll Gradient 
•  Calculates aero clearance in Roll and Brake</t>
  </si>
  <si>
    <t>•  Calculates upper and lower bound cornering stiffness</t>
  </si>
  <si>
    <t>Brake 
(Dive)</t>
  </si>
  <si>
    <t>Distance from Front Tire to Front Wing (Rules)</t>
  </si>
  <si>
    <t>Pitch Gradient (Braking)</t>
  </si>
  <si>
    <t>Pitch Gradient (Accel)</t>
  </si>
  <si>
    <t>Note: Pitch Gradient Varies in Accel / Brake</t>
  </si>
  <si>
    <t>Distance from X-Axis to Side of Front Wing (Rules)</t>
  </si>
  <si>
    <t>Max Permissable Roll Angle</t>
  </si>
  <si>
    <t>Max Permissable Roll Gradient</t>
  </si>
  <si>
    <t>Z Travel at Front Wing (Downward)</t>
  </si>
  <si>
    <t>Note: This is a max permissable roll angle assuming undertray is at ride height and extends entire trackwidth</t>
  </si>
  <si>
    <t>AERO CLEARANCE</t>
  </si>
  <si>
    <t>Distance from X-Axis to Side of Undertray (Rules)</t>
  </si>
  <si>
    <t>Z Travel at Undertray (Downward)</t>
  </si>
  <si>
    <t>Note: This is the max y-distance the front wing can extend, dictated by rules</t>
  </si>
  <si>
    <t>Note: This is the max y-distance the undertray can extend, dictated by rules</t>
  </si>
  <si>
    <t>Note: This is the max x-distance the front wing can extend, dictated by rules</t>
  </si>
  <si>
    <t>Diameter</t>
  </si>
  <si>
    <t>Width</t>
  </si>
  <si>
    <t>Rim Diameter</t>
  </si>
  <si>
    <t>Hoosier R20 FSAE – 16.0X7.5-10</t>
  </si>
  <si>
    <t>Z Travel at Front Wing (Downward) (Roll)</t>
  </si>
  <si>
    <t>Z Travel at Front Wing (Downward) (Brake)</t>
  </si>
  <si>
    <t>Brake
+ 
Roll</t>
  </si>
  <si>
    <t>Z Travel at Tip of Front Wing (Brake + Roll)</t>
  </si>
  <si>
    <t>Z Travel at Tip of Front Wing (Brake)</t>
  </si>
  <si>
    <t>DROP LINK LOADS (MIN) (lbf)</t>
  </si>
  <si>
    <t>DROP LINK LOADS (MAX) (lbf)</t>
  </si>
  <si>
    <t>θ_roll,min</t>
  </si>
  <si>
    <t>l_FBlade</t>
  </si>
  <si>
    <t>l_RBlade</t>
  </si>
  <si>
    <t>min (soft)</t>
  </si>
  <si>
    <t>max (stiff)</t>
  </si>
  <si>
    <t>ARB Twist Angle</t>
  </si>
  <si>
    <t>Torque on ARB</t>
  </si>
  <si>
    <t>G_steel4130</t>
  </si>
  <si>
    <t>L_frontTube</t>
  </si>
  <si>
    <t>L_rearTube</t>
  </si>
  <si>
    <t>OD_frontTube</t>
  </si>
  <si>
    <t>ID_frontTube</t>
  </si>
  <si>
    <t>OD_rearTube</t>
  </si>
  <si>
    <t>ID_rearTube</t>
  </si>
  <si>
    <t>L_frontBlade</t>
  </si>
  <si>
    <t>L_rearBlade</t>
  </si>
  <si>
    <t>ARB PARAMETERS</t>
  </si>
  <si>
    <t>Torsion Bar Twist Angle</t>
  </si>
  <si>
    <t>Pa</t>
  </si>
  <si>
    <t>Front
Parameters</t>
  </si>
  <si>
    <t>Rear
Parameters</t>
  </si>
  <si>
    <t>General
Parameters</t>
  </si>
  <si>
    <t>Front
(Min Disp.)
(Stiffest)</t>
  </si>
  <si>
    <t>Rear
(Min Disp.)
(Stiffest)</t>
  </si>
  <si>
    <t>J_frontTube</t>
  </si>
  <si>
    <t>J_rearTube</t>
  </si>
  <si>
    <t>m^4</t>
  </si>
  <si>
    <t>Front
(Max Disp.)
(Softest)</t>
  </si>
  <si>
    <t>Rear
(Max Disp.)
(Softest)</t>
  </si>
  <si>
    <t>Blade Rotation Angle</t>
  </si>
  <si>
    <t>Min. (Stiff)</t>
  </si>
  <si>
    <t>Max. (Soft)</t>
  </si>
  <si>
    <t>•  Primary suspension kinematic parameters
•  Summary of key kinematic parameters from OptimumK</t>
  </si>
  <si>
    <t>•  Vehicle sizing parameters
•   Mass, CG, and LLTD
•  Rates (Wheel, Spring, Tire)
•  Gradients (Roll, Pitch, Understeer)
•  Acceleration cases</t>
  </si>
  <si>
    <t>•  Compressive and tensile link loads for A-Arms
•  Steering and Toe Link loads incorporating motor inertia
•  Shock and Push Link loads
•  Min and max ARB Drop Link Loads</t>
  </si>
  <si>
    <t>•  Lateral and longitudinal load transfer
•  Vertical load on tires (with and without aero)
•  Max cornering load case</t>
  </si>
  <si>
    <t>Blade Disp. (Total)</t>
  </si>
  <si>
    <t>Front ARB Disp. (1x Blade) (in)</t>
  </si>
  <si>
    <t>Rear ARB Disp. (1x Blade) (in)</t>
  </si>
  <si>
    <t>ARB BLADE DISPLACEMENTS</t>
  </si>
  <si>
    <t>Note: "1x Blade" indicates that the displacement applies only to one blade</t>
  </si>
  <si>
    <t>(m * A_x * 9.8 * h_CG)/(Wheelbase)</t>
  </si>
  <si>
    <t>((m * WeightBias)/2 + LLT) * A_z</t>
  </si>
  <si>
    <t>Should be 1.289 for 200 lbs/in</t>
  </si>
  <si>
    <t>Should be 1.263 for 200 lbs/in</t>
  </si>
  <si>
    <t>Target
MR</t>
  </si>
  <si>
    <t>Est.
K</t>
  </si>
  <si>
    <t>2. Calculate Wheel Rates (K) based on Ride Frequencies (estimated values)</t>
  </si>
  <si>
    <t>Cornering Load</t>
  </si>
  <si>
    <t>ARB 
Anti-Roll
Torque</t>
  </si>
  <si>
    <t>Min. (Soft)</t>
  </si>
  <si>
    <t>Max. (Stiff)</t>
  </si>
  <si>
    <t>Front ARB Force (lbf)</t>
  </si>
  <si>
    <t>Rear ARB Force (lbf)</t>
  </si>
  <si>
    <t>SU26 ARB FORCES &amp; DISPLACEMENTS</t>
  </si>
  <si>
    <t>Drop Link Load</t>
  </si>
  <si>
    <t>MARGINS OF SAFETY</t>
  </si>
  <si>
    <t xml:space="preserve">SF </t>
  </si>
  <si>
    <t>MOS</t>
  </si>
  <si>
    <t>SU26 ARB BLADE DISPLACEMENTS (REALITY)</t>
  </si>
  <si>
    <t>Component</t>
  </si>
  <si>
    <t>Inboard + Shock Clevises</t>
  </si>
  <si>
    <t>FR Links</t>
  </si>
  <si>
    <t>FL Links</t>
  </si>
  <si>
    <t>RR Links</t>
  </si>
  <si>
    <t>RL Links</t>
  </si>
  <si>
    <t>FR Springs and Shocks</t>
  </si>
  <si>
    <t>FL Springs and Shocks</t>
  </si>
  <si>
    <t>RR Springs and Shocks</t>
  </si>
  <si>
    <t>RL Springs and Shocks</t>
  </si>
  <si>
    <t>Front Anti-Roll</t>
  </si>
  <si>
    <t>Rear Anti-Roll</t>
  </si>
  <si>
    <t>FR Rocker and Clevis</t>
  </si>
  <si>
    <t>FL Rocker and Clevis</t>
  </si>
  <si>
    <t>RR Rocker and Clevis</t>
  </si>
  <si>
    <t>RL Rocker and Clevis</t>
  </si>
  <si>
    <t>TOTAL</t>
  </si>
  <si>
    <t>ARG26 Weight</t>
  </si>
  <si>
    <t>ARG25 Weight</t>
  </si>
  <si>
    <t>Target Weight 
for ARG26</t>
  </si>
  <si>
    <t>Delta b/w ARG26 
and Target</t>
  </si>
  <si>
    <t>Delta b/w ARG25 
and ARG26</t>
  </si>
  <si>
    <t>ARB Design</t>
  </si>
  <si>
    <t>Weight</t>
  </si>
  <si>
    <t>Rev. 2026-06-21</t>
  </si>
  <si>
    <t>Note: Inaccurate Hand Calc from Bicycle Model</t>
  </si>
  <si>
    <t>Front Spring Rate (Designed)</t>
  </si>
  <si>
    <t>Rear Spring Rate (Designed)</t>
  </si>
  <si>
    <t>1. Choose target Ride Frequencies (RF) and enter in cells D3, D4</t>
  </si>
  <si>
    <t>6. Place spring rates and MRs into `Parameters and Rates` sheet, and calculate Wheel Rate and Ride Frequency</t>
  </si>
  <si>
    <t>Roll Gradient from Springs (Designed)</t>
  </si>
  <si>
    <t>Roll Gradient from Springs (On-Car)</t>
  </si>
  <si>
    <t>Note: Reference this cell when changing springs</t>
  </si>
  <si>
    <t>Front Spring Rate (On-Car)</t>
  </si>
  <si>
    <t>Rear Spring Rate (On-Car)</t>
  </si>
  <si>
    <t>Note: Edit these cells
when changing springs</t>
  </si>
  <si>
    <t>Front Wheel Rate (Designed)</t>
  </si>
  <si>
    <t>Rear Wheel Rate (Designed)</t>
  </si>
  <si>
    <t>WEIGHT BREAKDOWN (kg)</t>
  </si>
  <si>
    <t>•  Sizing of Torsion Bars and Blades
•  Calculate displacements and loads at ARB Blade tip</t>
  </si>
  <si>
    <t>•  Roll stiffnesses from springs and tires
•  Anti-Roll Bar stiffnesses (and LLTD)</t>
  </si>
  <si>
    <t>Kroll_total</t>
  </si>
  <si>
    <t>rollGradient_total</t>
  </si>
  <si>
    <t>chassisRoll</t>
  </si>
  <si>
    <t>ARB BLADE DISPLACEMENTS (REALITY)</t>
  </si>
  <si>
    <t>Setting</t>
  </si>
  <si>
    <t>•  Calculation of Pitch Gradient (Multiple Methods)</t>
  </si>
  <si>
    <t>•  Weight analysis and breakdown of each subsystem</t>
  </si>
  <si>
    <t>deg/G</t>
  </si>
  <si>
    <t>Softest</t>
  </si>
  <si>
    <t>Stiffest</t>
  </si>
  <si>
    <t>Blade</t>
  </si>
  <si>
    <t>Designed</t>
  </si>
  <si>
    <t>Reality</t>
  </si>
  <si>
    <t>Torsion 
Bar</t>
  </si>
  <si>
    <t>σ</t>
  </si>
  <si>
    <t>σ_yield</t>
  </si>
  <si>
    <t>σ_ultimate</t>
  </si>
  <si>
    <t>SF_yield</t>
  </si>
  <si>
    <t>SF_ultimate</t>
  </si>
  <si>
    <t>MOS_yield</t>
  </si>
  <si>
    <t>MOS_ultimate</t>
  </si>
  <si>
    <t>σ_endurance</t>
  </si>
  <si>
    <t>VALID?</t>
  </si>
  <si>
    <t>Torsion Bar Twist</t>
  </si>
  <si>
    <t>Blade Rotation</t>
  </si>
  <si>
    <t>K_roll,frontSprings</t>
  </si>
  <si>
    <t>K_roll,rearSprings</t>
  </si>
  <si>
    <t>Front Axle</t>
  </si>
  <si>
    <t>Rear Axle</t>
  </si>
  <si>
    <t>K_roll, TOTAL</t>
  </si>
  <si>
    <t>•  Calcualte damper settings (In-Progress)</t>
  </si>
  <si>
    <t>IN-PROGRESS</t>
  </si>
  <si>
    <t>• For fatigue life of material, search MMPDS for S-N curve, and determine # of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</si>
</sst>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30" x14ac:knownFonts="1">
    <font>
      <sz val="12"/>
      <color theme="1"/>
      <name val="Aptos Narrow"/>
      <family val="2"/>
      <scheme val="minor"/>
    </font>
    <font>
      <b/>
      <sz val="12"/>
      <color theme="1"/>
      <name val="Aptos Narrow"/>
      <scheme val="minor"/>
    </font>
    <font>
      <b/>
      <sz val="13"/>
      <color theme="1"/>
      <name val="Aptos Narrow"/>
      <scheme val="minor"/>
    </font>
    <font>
      <b/>
      <sz val="13"/>
      <color theme="1"/>
      <name val="Aptos Narrow"/>
    </font>
    <font>
      <sz val="12"/>
      <color theme="0" tint="-0.249977111117893"/>
      <name val="Aptos Narrow"/>
      <family val="2"/>
      <scheme val="minor"/>
    </font>
    <font>
      <sz val="12"/>
      <color rgb="FF000000"/>
      <name val="Aptos Narrow"/>
      <family val="2"/>
      <scheme val="minor"/>
    </font>
    <font>
      <i/>
      <sz val="12"/>
      <color theme="0" tint="-0.249977111117893"/>
      <name val="Aptos Narrow"/>
      <scheme val="minor"/>
    </font>
    <font>
      <sz val="12"/>
      <color theme="0" tint="-0.249977111117893"/>
      <name val="Aptos Narrow"/>
      <scheme val="minor"/>
    </font>
    <font>
      <b/>
      <i/>
      <sz val="12"/>
      <color theme="1"/>
      <name val="Aptos Narrow"/>
      <scheme val="minor"/>
    </font>
    <font>
      <i/>
      <sz val="12"/>
      <color theme="1"/>
      <name val="Aptos Narrow"/>
      <scheme val="minor"/>
    </font>
    <font>
      <sz val="12"/>
      <name val="Aptos Narrow"/>
      <family val="2"/>
      <scheme val="minor"/>
    </font>
    <font>
      <sz val="12"/>
      <color theme="9"/>
      <name val="Aptos Narrow"/>
      <family val="2"/>
      <scheme val="minor"/>
    </font>
    <font>
      <sz val="12"/>
      <color rgb="FFC00000"/>
      <name val="Aptos Narrow"/>
      <family val="2"/>
      <scheme val="minor"/>
    </font>
    <font>
      <sz val="12"/>
      <color theme="1"/>
      <name val="Aptos Narrow"/>
      <scheme val="minor"/>
    </font>
    <font>
      <b/>
      <sz val="12"/>
      <color theme="1"/>
      <name val="Aptos Narrow"/>
    </font>
    <font>
      <b/>
      <i/>
      <sz val="12"/>
      <color theme="1"/>
      <name val="Aptos Narrow"/>
    </font>
    <font>
      <sz val="12"/>
      <color theme="7"/>
      <name val="Aptos Narrow"/>
      <family val="2"/>
      <scheme val="minor"/>
    </font>
    <font>
      <b/>
      <sz val="13"/>
      <name val="Aptos Narrow"/>
      <scheme val="minor"/>
    </font>
    <font>
      <b/>
      <sz val="18"/>
      <color theme="0"/>
      <name val="Aptos Narrow"/>
      <scheme val="minor"/>
    </font>
    <font>
      <b/>
      <sz val="14"/>
      <color theme="1"/>
      <name val="Aptos Narrow"/>
      <scheme val="minor"/>
    </font>
    <font>
      <b/>
      <sz val="12"/>
      <color rgb="FF215C98"/>
      <name val="Aptos Narrow"/>
      <scheme val="minor"/>
    </font>
    <font>
      <b/>
      <i/>
      <sz val="12"/>
      <name val="Aptos Narrow"/>
      <scheme val="minor"/>
    </font>
    <font>
      <b/>
      <sz val="12"/>
      <color theme="9"/>
      <name val="Aptos Narrow"/>
      <scheme val="minor"/>
    </font>
    <font>
      <sz val="12"/>
      <color theme="1"/>
      <name val="Aptos Narrow"/>
      <family val="2"/>
      <scheme val="minor"/>
    </font>
    <font>
      <sz val="10"/>
      <color theme="1"/>
      <name val="Aptos Narrow"/>
      <scheme val="minor"/>
    </font>
    <font>
      <sz val="13"/>
      <color theme="1"/>
      <name val="Aptos Narrow"/>
      <scheme val="minor"/>
    </font>
    <font>
      <sz val="12"/>
      <color rgb="FFFF0000"/>
      <name val="Aptos Narrow"/>
      <family val="2"/>
      <scheme val="minor"/>
    </font>
    <font>
      <sz val="12"/>
      <color rgb="FFFF0000"/>
      <name val="Aptos Narrow"/>
      <scheme val="minor"/>
    </font>
    <font>
      <b/>
      <sz val="12"/>
      <color rgb="FFFF0000"/>
      <name val="Aptos Narrow"/>
      <scheme val="minor"/>
    </font>
    <font>
      <sz val="12"/>
      <color theme="0"/>
      <name val="Aptos Narrow"/>
      <family val="2"/>
      <scheme val="minor"/>
    </font>
  </fonts>
  <fills count="32">
    <fill>
      <patternFill patternType="none"/>
    </fill>
    <fill>
      <patternFill patternType="gray125"/>
    </fill>
    <fill>
      <patternFill patternType="solid">
        <fgColor rgb="FFFF5050"/>
        <bgColor indexed="64"/>
      </patternFill>
    </fill>
    <fill>
      <patternFill patternType="solid">
        <fgColor rgb="FF73ABE0"/>
        <bgColor indexed="64"/>
      </patternFill>
    </fill>
    <fill>
      <patternFill patternType="solid">
        <fgColor rgb="FFFFCACB"/>
        <bgColor indexed="64"/>
      </patternFill>
    </fill>
    <fill>
      <patternFill patternType="solid">
        <fgColor rgb="FFD3E2F3"/>
        <bgColor indexed="64"/>
      </patternFill>
    </fill>
    <fill>
      <patternFill patternType="solid">
        <fgColor rgb="FFB695C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8CB92"/>
        <bgColor indexed="64"/>
      </patternFill>
    </fill>
    <fill>
      <patternFill patternType="solid">
        <fgColor rgb="FF9CF1A9"/>
        <bgColor indexed="64"/>
      </patternFill>
    </fill>
    <fill>
      <patternFill patternType="solid">
        <fgColor rgb="FF9BC2E6"/>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C736E"/>
        <bgColor indexed="64"/>
      </patternFill>
    </fill>
    <fill>
      <patternFill patternType="solid">
        <fgColor rgb="FF72C8C9"/>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215C98"/>
        <bgColor indexed="64"/>
      </patternFill>
    </fill>
    <fill>
      <patternFill patternType="solid">
        <fgColor rgb="FF80A9E4"/>
        <bgColor indexed="64"/>
      </patternFill>
    </fill>
    <fill>
      <patternFill patternType="solid">
        <fgColor rgb="FFD4E2F3"/>
        <bgColor indexed="64"/>
      </patternFill>
    </fill>
    <fill>
      <patternFill patternType="solid">
        <fgColor rgb="FFF9CC93"/>
        <bgColor indexed="64"/>
      </patternFill>
    </fill>
    <fill>
      <patternFill patternType="solid">
        <fgColor rgb="FFF9CCAD"/>
        <bgColor indexed="64"/>
      </patternFill>
    </fill>
    <fill>
      <patternFill patternType="solid">
        <fgColor rgb="FFFDE5D7"/>
        <bgColor indexed="64"/>
      </patternFill>
    </fill>
    <fill>
      <patternFill patternType="solid">
        <fgColor rgb="FFC00000"/>
        <bgColor indexed="64"/>
      </patternFill>
    </fill>
  </fills>
  <borders count="1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1"/>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theme="1"/>
      </bottom>
      <diagonal/>
    </border>
    <border>
      <left style="thin">
        <color theme="1"/>
      </left>
      <right/>
      <top/>
      <bottom style="thin">
        <color indexed="64"/>
      </bottom>
      <diagonal/>
    </border>
    <border>
      <left/>
      <right style="thin">
        <color theme="1"/>
      </right>
      <top style="thin">
        <color theme="1"/>
      </top>
      <bottom style="thin">
        <color indexed="64"/>
      </bottom>
      <diagonal/>
    </border>
    <border>
      <left style="thin">
        <color theme="1"/>
      </left>
      <right style="thin">
        <color indexed="64"/>
      </right>
      <top style="thin">
        <color theme="1"/>
      </top>
      <bottom/>
      <diagonal/>
    </border>
    <border>
      <left style="thin">
        <color indexed="64"/>
      </left>
      <right/>
      <top style="thin">
        <color theme="1"/>
      </top>
      <bottom/>
      <diagonal/>
    </border>
    <border>
      <left/>
      <right/>
      <top style="thin">
        <color theme="1"/>
      </top>
      <bottom/>
      <diagonal/>
    </border>
    <border>
      <left style="thin">
        <color theme="0" tint="-0.14999847407452621"/>
      </left>
      <right style="thin">
        <color theme="0" tint="-0.14999847407452621"/>
      </right>
      <top style="thin">
        <color theme="1"/>
      </top>
      <bottom style="thin">
        <color theme="0" tint="-0.14999847407452621"/>
      </bottom>
      <diagonal/>
    </border>
    <border>
      <left/>
      <right style="thin">
        <color theme="1"/>
      </right>
      <top style="thin">
        <color theme="1"/>
      </top>
      <bottom/>
      <diagonal/>
    </border>
    <border>
      <left style="thin">
        <color theme="1"/>
      </left>
      <right style="thin">
        <color indexed="64"/>
      </right>
      <top/>
      <bottom/>
      <diagonal/>
    </border>
    <border>
      <left/>
      <right style="thin">
        <color theme="1"/>
      </right>
      <top/>
      <bottom/>
      <diagonal/>
    </border>
    <border>
      <left/>
      <right/>
      <top/>
      <bottom style="thin">
        <color theme="1"/>
      </bottom>
      <diagonal/>
    </border>
    <border>
      <left/>
      <right style="thin">
        <color theme="1"/>
      </right>
      <top/>
      <bottom style="thin">
        <color theme="1"/>
      </bottom>
      <diagonal/>
    </border>
    <border>
      <left style="thin">
        <color theme="0" tint="-0.14999847407452621"/>
      </left>
      <right style="thin">
        <color theme="0" tint="-0.14999847407452621"/>
      </right>
      <top style="thin">
        <color theme="0" tint="-0.14999847407452621"/>
      </top>
      <bottom style="thin">
        <color theme="1"/>
      </bottom>
      <diagonal/>
    </border>
    <border>
      <left style="thin">
        <color theme="1"/>
      </left>
      <right style="thin">
        <color theme="0" tint="-0.14999847407452621"/>
      </right>
      <top style="thin">
        <color theme="1"/>
      </top>
      <bottom style="thin">
        <color theme="0" tint="-0.14999847407452621"/>
      </bottom>
      <diagonal/>
    </border>
    <border>
      <left style="thin">
        <color theme="0" tint="-0.14999847407452621"/>
      </left>
      <right style="thin">
        <color theme="1"/>
      </right>
      <top style="thin">
        <color theme="1"/>
      </top>
      <bottom style="thin">
        <color theme="0" tint="-0.14999847407452621"/>
      </bottom>
      <diagonal/>
    </border>
    <border>
      <left style="thin">
        <color theme="1"/>
      </left>
      <right style="thin">
        <color theme="0" tint="-0.14999847407452621"/>
      </right>
      <top style="thin">
        <color theme="0" tint="-0.14999847407452621"/>
      </top>
      <bottom style="thin">
        <color theme="1"/>
      </bottom>
      <diagonal/>
    </border>
    <border>
      <left style="thin">
        <color theme="0" tint="-0.14999847407452621"/>
      </left>
      <right style="thin">
        <color theme="1"/>
      </right>
      <top style="thin">
        <color theme="0" tint="-0.14999847407452621"/>
      </top>
      <bottom style="thin">
        <color theme="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indexed="64"/>
      </bottom>
      <diagonal/>
    </border>
    <border>
      <left/>
      <right style="thin">
        <color theme="0" tint="-0.14999847407452621"/>
      </right>
      <top style="thin">
        <color indexed="64"/>
      </top>
      <bottom/>
      <diagonal/>
    </border>
    <border>
      <left style="thin">
        <color indexed="64"/>
      </left>
      <right style="thin">
        <color theme="0" tint="-0.14999847407452621"/>
      </right>
      <top style="thin">
        <color indexed="64"/>
      </top>
      <bottom/>
      <diagonal/>
    </border>
    <border>
      <left style="thin">
        <color indexed="64"/>
      </left>
      <right style="thin">
        <color theme="0" tint="-0.14999847407452621"/>
      </right>
      <top/>
      <bottom style="thin">
        <color indexed="64"/>
      </bottom>
      <diagonal/>
    </border>
    <border>
      <left style="thin">
        <color indexed="64"/>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style="thin">
        <color indexed="64"/>
      </bottom>
      <diagonal/>
    </border>
    <border>
      <left style="thin">
        <color theme="0" tint="-0.14999847407452621"/>
      </left>
      <right/>
      <top style="thin">
        <color theme="0" tint="-0.14999847407452621"/>
      </top>
      <bottom style="thin">
        <color indexed="64"/>
      </bottom>
      <diagonal/>
    </border>
    <border>
      <left style="thin">
        <color indexed="64"/>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top style="thin">
        <color theme="0" tint="-0.14999847407452621"/>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indexed="64"/>
      </left>
      <right/>
      <top style="thin">
        <color theme="0" tint="-0.34998626667073579"/>
      </top>
      <bottom style="thin">
        <color indexed="64"/>
      </bottom>
      <diagonal/>
    </border>
    <border>
      <left style="thin">
        <color theme="0" tint="-0.34998626667073579"/>
      </left>
      <right style="thin">
        <color indexed="64"/>
      </right>
      <top style="thin">
        <color indexed="64"/>
      </top>
      <bottom style="thin">
        <color theme="0" tint="-0.34998626667073579"/>
      </bottom>
      <diagonal/>
    </border>
    <border>
      <left style="thin">
        <color theme="0" tint="-0.34998626667073579"/>
      </left>
      <right style="thin">
        <color indexed="64"/>
      </right>
      <top style="thin">
        <color theme="0" tint="-0.34998626667073579"/>
      </top>
      <bottom style="thin">
        <color theme="1"/>
      </bottom>
      <diagonal/>
    </border>
    <border>
      <left style="thin">
        <color indexed="64"/>
      </left>
      <right/>
      <top style="thin">
        <color theme="0" tint="-0.34998626667073579"/>
      </top>
      <bottom style="thin">
        <color theme="1"/>
      </bottom>
      <diagonal/>
    </border>
    <border>
      <left style="thin">
        <color indexed="64"/>
      </left>
      <right style="thin">
        <color theme="0" tint="-0.34998626667073579"/>
      </right>
      <top style="thin">
        <color theme="0" tint="-0.34998626667073579"/>
      </top>
      <bottom style="thin">
        <color indexed="64"/>
      </bottom>
      <diagonal/>
    </border>
    <border>
      <left style="thin">
        <color indexed="64"/>
      </left>
      <right style="thin">
        <color theme="0" tint="-0.34998626667073579"/>
      </right>
      <top style="thin">
        <color indexed="64"/>
      </top>
      <bottom/>
      <diagonal/>
    </border>
    <border>
      <left style="thin">
        <color theme="1"/>
      </left>
      <right/>
      <top style="thin">
        <color theme="1"/>
      </top>
      <bottom/>
      <diagonal/>
    </border>
    <border>
      <left style="thin">
        <color theme="1"/>
      </left>
      <right/>
      <top/>
      <bottom style="thin">
        <color theme="1"/>
      </bottom>
      <diagonal/>
    </border>
    <border>
      <left style="thin">
        <color theme="1"/>
      </left>
      <right/>
      <top style="thin">
        <color indexed="64"/>
      </top>
      <bottom/>
      <diagonal/>
    </border>
    <border>
      <left/>
      <right style="thin">
        <color theme="1"/>
      </right>
      <top style="thin">
        <color indexed="64"/>
      </top>
      <bottom/>
      <diagonal/>
    </border>
    <border>
      <left style="thin">
        <color theme="1"/>
      </left>
      <right/>
      <top/>
      <bottom/>
      <diagonal/>
    </border>
    <border>
      <left/>
      <right style="thin">
        <color indexed="64"/>
      </right>
      <top style="thin">
        <color theme="1"/>
      </top>
      <bottom style="thin">
        <color indexed="64"/>
      </bottom>
      <diagonal/>
    </border>
    <border>
      <left style="thin">
        <color theme="1"/>
      </left>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1"/>
      </right>
      <top style="thin">
        <color theme="0" tint="-0.14999847407452621"/>
      </top>
      <bottom style="thin">
        <color theme="0" tint="-0.14999847407452621"/>
      </bottom>
      <diagonal/>
    </border>
    <border>
      <left/>
      <right style="thin">
        <color theme="0" tint="-0.14999847407452621"/>
      </right>
      <top style="thin">
        <color theme="1"/>
      </top>
      <bottom style="thin">
        <color theme="0" tint="-0.14999847407452621"/>
      </bottom>
      <diagonal/>
    </border>
    <border>
      <left style="thin">
        <color theme="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1"/>
      </right>
      <top style="thin">
        <color theme="0" tint="-0.14999847407452621"/>
      </top>
      <bottom/>
      <diagonal/>
    </border>
    <border>
      <left/>
      <right style="thin">
        <color theme="0" tint="-0.14999847407452621"/>
      </right>
      <top style="thin">
        <color theme="0" tint="-0.14999847407452621"/>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1"/>
      </left>
      <right style="thin">
        <color theme="2" tint="-0.499984740745262"/>
      </right>
      <top/>
      <bottom style="thin">
        <color theme="2" tint="-0.499984740745262"/>
      </bottom>
      <diagonal/>
    </border>
    <border>
      <left style="thin">
        <color theme="2" tint="-0.499984740745262"/>
      </left>
      <right style="thin">
        <color theme="1"/>
      </right>
      <top/>
      <bottom style="thin">
        <color theme="2" tint="-0.499984740745262"/>
      </bottom>
      <diagonal/>
    </border>
    <border>
      <left style="thin">
        <color theme="1"/>
      </left>
      <right style="thin">
        <color theme="2" tint="-0.499984740745262"/>
      </right>
      <top style="thin">
        <color theme="2" tint="-0.499984740745262"/>
      </top>
      <bottom style="thin">
        <color theme="2" tint="-0.499984740745262"/>
      </bottom>
      <diagonal/>
    </border>
    <border>
      <left style="thin">
        <color theme="2" tint="-0.499984740745262"/>
      </left>
      <right style="thin">
        <color theme="1"/>
      </right>
      <top style="thin">
        <color theme="2" tint="-0.499984740745262"/>
      </top>
      <bottom style="thin">
        <color theme="2" tint="-0.499984740745262"/>
      </bottom>
      <diagonal/>
    </border>
    <border>
      <left style="thin">
        <color indexed="64"/>
      </left>
      <right/>
      <top style="thin">
        <color theme="1"/>
      </top>
      <bottom style="thin">
        <color theme="1"/>
      </bottom>
      <diagonal/>
    </border>
    <border>
      <left/>
      <right style="thin">
        <color theme="1"/>
      </right>
      <top style="thin">
        <color indexed="64"/>
      </top>
      <bottom style="thin">
        <color indexed="64"/>
      </bottom>
      <diagonal/>
    </border>
    <border>
      <left style="thin">
        <color indexed="64"/>
      </left>
      <right/>
      <top style="thin">
        <color theme="1"/>
      </top>
      <bottom style="thin">
        <color indexed="64"/>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theme="0" tint="-0.14999847407452621"/>
      </left>
      <right/>
      <top style="thin">
        <color theme="1"/>
      </top>
      <bottom style="thin">
        <color theme="0" tint="-0.14999847407452621"/>
      </bottom>
      <diagonal/>
    </border>
    <border>
      <left style="thin">
        <color theme="0" tint="-0.14999847407452621"/>
      </left>
      <right/>
      <top style="thin">
        <color theme="0" tint="-0.1499984740745262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thin">
        <color theme="1"/>
      </right>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style="thin">
        <color theme="2" tint="-0.499984740745262"/>
      </right>
      <top/>
      <bottom style="thin">
        <color theme="2" tint="-0.499984740745262"/>
      </bottom>
      <diagonal/>
    </border>
    <border>
      <left style="thin">
        <color theme="2" tint="-0.499984740745262"/>
      </left>
      <right style="thin">
        <color indexed="64"/>
      </right>
      <top/>
      <bottom style="thin">
        <color theme="2" tint="-0.499984740745262"/>
      </bottom>
      <diagonal/>
    </border>
    <border>
      <left style="thin">
        <color indexed="64"/>
      </left>
      <right style="thin">
        <color theme="2" tint="-0.499984740745262"/>
      </right>
      <top style="thin">
        <color theme="2" tint="-0.499984740745262"/>
      </top>
      <bottom style="thin">
        <color theme="2" tint="-0.499984740745262"/>
      </bottom>
      <diagonal/>
    </border>
    <border>
      <left style="thin">
        <color theme="2" tint="-0.499984740745262"/>
      </left>
      <right style="thin">
        <color indexed="64"/>
      </right>
      <top style="thin">
        <color theme="2" tint="-0.499984740745262"/>
      </top>
      <bottom style="thin">
        <color theme="2" tint="-0.499984740745262"/>
      </bottom>
      <diagonal/>
    </border>
    <border>
      <left style="thin">
        <color indexed="64"/>
      </left>
      <right/>
      <top style="thin">
        <color theme="2" tint="-0.499984740745262"/>
      </top>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indexed="64"/>
      </right>
      <top style="thin">
        <color theme="2" tint="-0.499984740745262"/>
      </top>
      <bottom/>
      <diagonal/>
    </border>
    <border>
      <left style="thin">
        <color theme="2" tint="-0.499984740745262"/>
      </left>
      <right/>
      <top/>
      <bottom style="thin">
        <color indexed="64"/>
      </bottom>
      <diagonal/>
    </border>
    <border>
      <left style="thin">
        <color theme="2" tint="-0.499984740745262"/>
      </left>
      <right style="thin">
        <color theme="2" tint="-0.499984740745262"/>
      </right>
      <top style="thin">
        <color theme="2" tint="-0.499984740745262"/>
      </top>
      <bottom style="thin">
        <color indexed="64"/>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style="thin">
        <color theme="2" tint="-0.499984740745262"/>
      </left>
      <right style="thin">
        <color indexed="64"/>
      </right>
      <top style="thin">
        <color theme="2" tint="-0.499984740745262"/>
      </top>
      <bottom style="thin">
        <color indexed="64"/>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indexed="64"/>
      </left>
      <right/>
      <top style="thin">
        <color indexed="64"/>
      </top>
      <bottom style="thin">
        <color theme="0" tint="-0.34998626667073579"/>
      </bottom>
      <diagonal/>
    </border>
    <border>
      <left style="thin">
        <color theme="0" tint="-0.34998626667073579"/>
      </left>
      <right style="thin">
        <color indexed="64"/>
      </right>
      <top style="thin">
        <color theme="2" tint="-0.249977111117893"/>
      </top>
      <bottom style="thin">
        <color indexed="64"/>
      </bottom>
      <diagonal/>
    </border>
    <border>
      <left style="thin">
        <color theme="2" tint="-0.249977111117893"/>
      </left>
      <right style="thin">
        <color indexed="64"/>
      </right>
      <top style="thin">
        <color indexed="64"/>
      </top>
      <bottom/>
      <diagonal/>
    </border>
    <border>
      <left style="thin">
        <color theme="2" tint="-0.249977111117893"/>
      </left>
      <right style="thin">
        <color theme="1"/>
      </right>
      <top style="thin">
        <color theme="1"/>
      </top>
      <bottom/>
      <diagonal/>
    </border>
    <border>
      <left style="thin">
        <color theme="2" tint="-0.249977111117893"/>
      </left>
      <right style="thin">
        <color theme="1"/>
      </right>
      <top style="thin">
        <color theme="2" tint="-0.249977111117893"/>
      </top>
      <bottom style="thin">
        <color theme="1"/>
      </bottom>
      <diagonal/>
    </border>
    <border>
      <left style="thin">
        <color theme="1"/>
      </left>
      <right style="thin">
        <color theme="2" tint="-0.249977111117893"/>
      </right>
      <top style="thin">
        <color theme="2" tint="-0.249977111117893"/>
      </top>
      <bottom style="thin">
        <color theme="1"/>
      </bottom>
      <diagonal/>
    </border>
    <border>
      <left style="thin">
        <color theme="1"/>
      </left>
      <right/>
      <top style="thin">
        <color theme="2" tint="-0.249977111117893"/>
      </top>
      <bottom style="thin">
        <color theme="1"/>
      </bottom>
      <diagonal/>
    </border>
    <border>
      <left style="thin">
        <color theme="1"/>
      </left>
      <right style="thin">
        <color theme="2" tint="-0.249977111117893"/>
      </right>
      <top style="thin">
        <color theme="1"/>
      </top>
      <bottom style="thin">
        <color theme="2" tint="-0.249977111117893"/>
      </bottom>
      <diagonal/>
    </border>
    <border>
      <left style="thin">
        <color theme="2" tint="-0.249977111117893"/>
      </left>
      <right style="thin">
        <color theme="1"/>
      </right>
      <top style="thin">
        <color theme="1"/>
      </top>
      <bottom style="thin">
        <color theme="2" tint="-0.249977111117893"/>
      </bottom>
      <diagonal/>
    </border>
    <border>
      <left/>
      <right style="thin">
        <color indexed="64"/>
      </right>
      <top style="thin">
        <color theme="1"/>
      </top>
      <bottom/>
      <diagonal/>
    </border>
    <border>
      <left/>
      <right style="thin">
        <color indexed="64"/>
      </right>
      <top/>
      <bottom style="thin">
        <color theme="1"/>
      </bottom>
      <diagonal/>
    </border>
    <border>
      <left style="thin">
        <color theme="0" tint="-0.14999847407452621"/>
      </left>
      <right style="thin">
        <color theme="0" tint="-0.14999847407452621"/>
      </right>
      <top style="thin">
        <color theme="1"/>
      </top>
      <bottom/>
      <diagonal/>
    </border>
    <border>
      <left/>
      <right style="thin">
        <color theme="0" tint="-0.14999847407452621"/>
      </right>
      <top style="thin">
        <color theme="1"/>
      </top>
      <bottom/>
      <diagonal/>
    </border>
    <border>
      <left/>
      <right style="thin">
        <color theme="1"/>
      </right>
      <top style="thin">
        <color theme="1"/>
      </top>
      <bottom style="thin">
        <color theme="0" tint="-0.14999847407452621"/>
      </bottom>
      <diagonal/>
    </border>
    <border>
      <left/>
      <right style="thin">
        <color theme="1"/>
      </right>
      <top/>
      <bottom style="thin">
        <color theme="0" tint="-0.14999847407452621"/>
      </bottom>
      <diagonal/>
    </border>
    <border>
      <left/>
      <right style="thin">
        <color theme="1"/>
      </right>
      <top style="thin">
        <color theme="0" tint="-0.14999847407452621"/>
      </top>
      <bottom style="thin">
        <color theme="0" tint="-0.14999847407452621"/>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style="thin">
        <color theme="0" tint="-0.14999847407452621"/>
      </top>
      <bottom style="thin">
        <color theme="0" tint="-0.14999847407452621"/>
      </bottom>
      <diagonal/>
    </border>
    <border>
      <left style="thin">
        <color theme="1"/>
      </left>
      <right style="thin">
        <color theme="1"/>
      </right>
      <top/>
      <bottom style="thin">
        <color theme="0" tint="-0.14999847407452621"/>
      </bottom>
      <diagonal/>
    </border>
    <border>
      <left/>
      <right style="thin">
        <color theme="1"/>
      </right>
      <top style="thin">
        <color theme="0" tint="-0.14999847407452621"/>
      </top>
      <bottom/>
      <diagonal/>
    </border>
  </borders>
  <cellStyleXfs count="2">
    <xf numFmtId="0" fontId="0" fillId="0" borderId="0"/>
    <xf numFmtId="9" fontId="23" fillId="0" borderId="0" applyFont="0" applyFill="0" applyBorder="0" applyAlignment="0" applyProtection="0"/>
  </cellStyleXfs>
  <cellXfs count="657">
    <xf numFmtId="0" fontId="0" fillId="0" borderId="0" xfId="0"/>
    <xf numFmtId="0" fontId="0" fillId="0" borderId="0" xfId="0" applyAlignment="1">
      <alignment horizontal="center" vertical="center"/>
    </xf>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2"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7" xfId="0" applyBorder="1" applyAlignment="1">
      <alignment vertical="center"/>
    </xf>
    <xf numFmtId="0" fontId="1" fillId="0" borderId="0" xfId="0" applyFont="1" applyAlignment="1">
      <alignment vertical="center"/>
    </xf>
    <xf numFmtId="0" fontId="0" fillId="0" borderId="16" xfId="0"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Alignment="1">
      <alignment vertical="center"/>
    </xf>
    <xf numFmtId="0" fontId="4" fillId="0" borderId="6"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2" xfId="0" applyFont="1" applyBorder="1" applyAlignment="1">
      <alignment vertical="center"/>
    </xf>
    <xf numFmtId="0" fontId="4" fillId="0" borderId="7" xfId="0" applyFont="1" applyBorder="1" applyAlignment="1">
      <alignment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6" xfId="0" applyFont="1" applyBorder="1"/>
    <xf numFmtId="0" fontId="5" fillId="0" borderId="9" xfId="0" applyFont="1" applyBorder="1"/>
    <xf numFmtId="0" fontId="0" fillId="0" borderId="15" xfId="0" applyBorder="1" applyAlignment="1">
      <alignment horizontal="center" vertical="center"/>
    </xf>
    <xf numFmtId="2" fontId="0" fillId="0" borderId="0" xfId="0" applyNumberFormat="1" applyAlignment="1">
      <alignment vertical="center"/>
    </xf>
    <xf numFmtId="2" fontId="4" fillId="0" borderId="5" xfId="0" applyNumberFormat="1" applyFont="1" applyBorder="1" applyAlignment="1">
      <alignment vertical="center"/>
    </xf>
    <xf numFmtId="2" fontId="0" fillId="0" borderId="3" xfId="0" applyNumberFormat="1" applyBorder="1" applyAlignment="1">
      <alignment vertical="center"/>
    </xf>
    <xf numFmtId="2" fontId="0" fillId="0" borderId="8" xfId="0" applyNumberFormat="1" applyBorder="1" applyAlignment="1">
      <alignment vertical="center"/>
    </xf>
    <xf numFmtId="164" fontId="0" fillId="0" borderId="8" xfId="0" applyNumberFormat="1" applyBorder="1" applyAlignment="1">
      <alignment vertical="center"/>
    </xf>
    <xf numFmtId="2" fontId="0" fillId="0" borderId="5" xfId="0" applyNumberFormat="1" applyBorder="1" applyAlignment="1">
      <alignment vertical="center"/>
    </xf>
    <xf numFmtId="2" fontId="0" fillId="0" borderId="2" xfId="0" applyNumberFormat="1" applyBorder="1" applyAlignment="1">
      <alignment vertical="center"/>
    </xf>
    <xf numFmtId="0" fontId="0" fillId="19" borderId="2" xfId="0" applyFill="1" applyBorder="1" applyAlignment="1">
      <alignment vertical="center"/>
    </xf>
    <xf numFmtId="0" fontId="0" fillId="19" borderId="5" xfId="0" applyFill="1" applyBorder="1" applyAlignment="1">
      <alignment vertical="center"/>
    </xf>
    <xf numFmtId="0" fontId="0" fillId="19" borderId="7" xfId="0" applyFill="1" applyBorder="1" applyAlignment="1">
      <alignment vertical="center"/>
    </xf>
    <xf numFmtId="2" fontId="0" fillId="0" borderId="7" xfId="0" applyNumberFormat="1" applyBorder="1"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0" fillId="0" borderId="24" xfId="0" applyBorder="1" applyAlignment="1">
      <alignment vertical="center"/>
    </xf>
    <xf numFmtId="0" fontId="0" fillId="0" borderId="25" xfId="0" applyBorder="1" applyAlignment="1">
      <alignment vertical="center"/>
    </xf>
    <xf numFmtId="0" fontId="0" fillId="17" borderId="26" xfId="0" applyFill="1" applyBorder="1" applyAlignment="1">
      <alignment vertical="center"/>
    </xf>
    <xf numFmtId="0" fontId="0" fillId="0" borderId="27" xfId="0" applyBorder="1" applyAlignment="1">
      <alignment vertical="center"/>
    </xf>
    <xf numFmtId="2" fontId="0" fillId="0" borderId="29" xfId="0" applyNumberFormat="1" applyBorder="1" applyAlignment="1">
      <alignment vertical="center"/>
    </xf>
    <xf numFmtId="0" fontId="0" fillId="0" borderId="30" xfId="0" applyBorder="1" applyAlignment="1">
      <alignment vertical="center"/>
    </xf>
    <xf numFmtId="2" fontId="0" fillId="0" borderId="30" xfId="0" applyNumberFormat="1" applyBorder="1" applyAlignment="1">
      <alignment vertical="center"/>
    </xf>
    <xf numFmtId="0" fontId="5" fillId="0" borderId="25" xfId="0" applyFont="1" applyBorder="1" applyAlignment="1">
      <alignment vertical="center"/>
    </xf>
    <xf numFmtId="2" fontId="0" fillId="0" borderId="25" xfId="0" applyNumberFormat="1" applyBorder="1" applyAlignment="1">
      <alignment vertical="center"/>
    </xf>
    <xf numFmtId="2" fontId="0" fillId="17" borderId="26" xfId="0" applyNumberFormat="1" applyFill="1" applyBorder="1" applyAlignment="1">
      <alignment vertical="center"/>
    </xf>
    <xf numFmtId="0" fontId="5" fillId="0" borderId="30" xfId="0" applyFont="1" applyBorder="1" applyAlignment="1">
      <alignment vertical="center"/>
    </xf>
    <xf numFmtId="2" fontId="0" fillId="17" borderId="32" xfId="0" applyNumberFormat="1" applyFill="1" applyBorder="1" applyAlignment="1">
      <alignment vertical="center"/>
    </xf>
    <xf numFmtId="0" fontId="0" fillId="17" borderId="32" xfId="0" applyFill="1" applyBorder="1" applyAlignment="1">
      <alignment vertical="center"/>
    </xf>
    <xf numFmtId="0" fontId="0" fillId="0" borderId="38" xfId="0" applyBorder="1"/>
    <xf numFmtId="0" fontId="0" fillId="0" borderId="37" xfId="0" applyBorder="1"/>
    <xf numFmtId="0" fontId="0" fillId="0" borderId="39"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4" fillId="0" borderId="2" xfId="0" applyFont="1" applyBorder="1" applyAlignment="1">
      <alignment horizontal="right" vertical="center"/>
    </xf>
    <xf numFmtId="0" fontId="4" fillId="0" borderId="7" xfId="0" applyFont="1" applyBorder="1" applyAlignment="1">
      <alignment horizontal="right" vertical="center"/>
    </xf>
    <xf numFmtId="1" fontId="0" fillId="6" borderId="0" xfId="0" applyNumberFormat="1" applyFill="1" applyAlignment="1">
      <alignment vertical="center"/>
    </xf>
    <xf numFmtId="2" fontId="4" fillId="0" borderId="2" xfId="0" applyNumberFormat="1" applyFont="1" applyBorder="1" applyAlignment="1">
      <alignment vertical="center"/>
    </xf>
    <xf numFmtId="2" fontId="4" fillId="0" borderId="7" xfId="0" applyNumberFormat="1" applyFont="1" applyBorder="1" applyAlignment="1">
      <alignment vertical="center"/>
    </xf>
    <xf numFmtId="0" fontId="0" fillId="0" borderId="0" xfId="0" applyAlignment="1">
      <alignment wrapText="1"/>
    </xf>
    <xf numFmtId="0" fontId="0" fillId="13" borderId="46" xfId="0" applyFill="1" applyBorder="1"/>
    <xf numFmtId="0" fontId="0" fillId="13" borderId="9" xfId="0" applyFill="1" applyBorder="1"/>
    <xf numFmtId="2" fontId="0" fillId="13" borderId="8" xfId="0" applyNumberFormat="1" applyFill="1" applyBorder="1"/>
    <xf numFmtId="0" fontId="10" fillId="0" borderId="0" xfId="0" applyFont="1" applyAlignment="1">
      <alignment vertical="center"/>
    </xf>
    <xf numFmtId="164" fontId="0" fillId="0" borderId="0" xfId="0" applyNumberFormat="1" applyAlignment="1">
      <alignment vertical="center"/>
    </xf>
    <xf numFmtId="164" fontId="0" fillId="0" borderId="6" xfId="0" applyNumberFormat="1" applyBorder="1" applyAlignment="1">
      <alignment vertical="center"/>
    </xf>
    <xf numFmtId="0" fontId="13" fillId="0" borderId="7" xfId="0" applyFont="1" applyBorder="1"/>
    <xf numFmtId="0" fontId="13" fillId="0" borderId="2" xfId="0" applyFont="1" applyBorder="1" applyAlignment="1">
      <alignment horizontal="left" vertical="center"/>
    </xf>
    <xf numFmtId="0" fontId="13" fillId="0" borderId="8" xfId="0" applyFont="1" applyBorder="1"/>
    <xf numFmtId="0" fontId="13" fillId="0" borderId="9" xfId="0" applyFont="1" applyBorder="1"/>
    <xf numFmtId="0" fontId="8" fillId="0" borderId="2" xfId="0" applyFont="1" applyBorder="1"/>
    <xf numFmtId="0" fontId="8" fillId="0" borderId="3" xfId="0" applyFont="1" applyBorder="1"/>
    <xf numFmtId="0" fontId="8" fillId="0" borderId="4" xfId="0" applyFont="1" applyBorder="1"/>
    <xf numFmtId="165" fontId="0" fillId="0" borderId="5" xfId="0" applyNumberFormat="1" applyBorder="1"/>
    <xf numFmtId="0" fontId="0" fillId="0" borderId="48" xfId="0" applyBorder="1"/>
    <xf numFmtId="0" fontId="0" fillId="0" borderId="49" xfId="0" applyBorder="1"/>
    <xf numFmtId="2" fontId="0" fillId="0" borderId="0" xfId="0" applyNumberFormat="1"/>
    <xf numFmtId="0" fontId="14" fillId="0" borderId="5" xfId="0" applyFont="1" applyBorder="1" applyAlignment="1">
      <alignment horizontal="center" vertical="center"/>
    </xf>
    <xf numFmtId="0" fontId="0" fillId="0" borderId="50" xfId="0" applyBorder="1"/>
    <xf numFmtId="0" fontId="0" fillId="0" borderId="51" xfId="0" applyBorder="1"/>
    <xf numFmtId="0" fontId="6" fillId="0" borderId="15" xfId="0" applyFont="1" applyBorder="1" applyAlignment="1">
      <alignment horizontal="center" vertical="center"/>
    </xf>
    <xf numFmtId="2" fontId="13" fillId="18" borderId="6" xfId="0" applyNumberFormat="1" applyFont="1" applyFill="1" applyBorder="1" applyAlignment="1">
      <alignment vertical="center"/>
    </xf>
    <xf numFmtId="0" fontId="0" fillId="0" borderId="1" xfId="0" applyBorder="1" applyAlignment="1">
      <alignment horizontal="center" vertical="center"/>
    </xf>
    <xf numFmtId="2" fontId="13" fillId="14" borderId="52" xfId="0" applyNumberFormat="1" applyFont="1" applyFill="1" applyBorder="1" applyAlignment="1">
      <alignment horizontal="center" vertical="center"/>
    </xf>
    <xf numFmtId="0" fontId="1" fillId="15" borderId="2" xfId="0" applyFont="1" applyFill="1" applyBorder="1" applyAlignment="1">
      <alignment horizontal="center" vertical="center"/>
    </xf>
    <xf numFmtId="2" fontId="13" fillId="15" borderId="55" xfId="0" applyNumberFormat="1" applyFont="1" applyFill="1" applyBorder="1" applyAlignment="1">
      <alignment horizontal="center" vertical="center"/>
    </xf>
    <xf numFmtId="2" fontId="13" fillId="15" borderId="52" xfId="0" applyNumberFormat="1" applyFont="1" applyFill="1" applyBorder="1" applyAlignment="1">
      <alignment horizontal="center" vertical="center"/>
    </xf>
    <xf numFmtId="0" fontId="1" fillId="15" borderId="58" xfId="0" applyFont="1" applyFill="1" applyBorder="1" applyAlignment="1">
      <alignment horizontal="center" vertical="center"/>
    </xf>
    <xf numFmtId="0" fontId="1" fillId="14" borderId="2" xfId="0" applyFont="1" applyFill="1" applyBorder="1" applyAlignment="1">
      <alignment horizontal="center" vertical="center"/>
    </xf>
    <xf numFmtId="0" fontId="0" fillId="0" borderId="59" xfId="0" applyBorder="1" applyAlignment="1">
      <alignment vertical="center"/>
    </xf>
    <xf numFmtId="0" fontId="0" fillId="0" borderId="60" xfId="0" applyBorder="1" applyAlignment="1">
      <alignment vertical="center"/>
    </xf>
    <xf numFmtId="2" fontId="0" fillId="0" borderId="25" xfId="0" applyNumberFormat="1" applyBorder="1" applyAlignment="1">
      <alignment horizontal="right" vertical="center"/>
    </xf>
    <xf numFmtId="2" fontId="0" fillId="17" borderId="26" xfId="0" applyNumberFormat="1" applyFill="1" applyBorder="1" applyAlignment="1">
      <alignment horizontal="right" vertical="center"/>
    </xf>
    <xf numFmtId="2" fontId="0" fillId="0" borderId="27" xfId="0" applyNumberFormat="1" applyBorder="1" applyAlignment="1">
      <alignment horizontal="right" vertical="center"/>
    </xf>
    <xf numFmtId="2" fontId="0" fillId="0" borderId="30" xfId="0" applyNumberFormat="1" applyBorder="1" applyAlignment="1">
      <alignment horizontal="right" vertical="center"/>
    </xf>
    <xf numFmtId="2" fontId="0" fillId="17" borderId="32" xfId="0" applyNumberFormat="1" applyFill="1" applyBorder="1" applyAlignment="1">
      <alignment horizontal="right" vertical="center"/>
    </xf>
    <xf numFmtId="0" fontId="9" fillId="0" borderId="0" xfId="0" applyFont="1" applyAlignment="1">
      <alignment vertical="center"/>
    </xf>
    <xf numFmtId="164" fontId="0" fillId="6" borderId="8" xfId="0" applyNumberFormat="1" applyFill="1" applyBorder="1" applyAlignment="1">
      <alignment vertical="center"/>
    </xf>
    <xf numFmtId="2" fontId="13" fillId="18" borderId="0" xfId="0" applyNumberFormat="1" applyFont="1" applyFill="1" applyAlignment="1">
      <alignment vertical="center"/>
    </xf>
    <xf numFmtId="0" fontId="13" fillId="0" borderId="61" xfId="0" applyFont="1" applyBorder="1" applyAlignment="1">
      <alignment vertical="center"/>
    </xf>
    <xf numFmtId="0" fontId="0" fillId="0" borderId="63" xfId="0" applyBorder="1" applyAlignment="1">
      <alignment vertical="center"/>
    </xf>
    <xf numFmtId="0" fontId="13" fillId="0" borderId="63" xfId="0" applyFont="1" applyBorder="1" applyAlignment="1">
      <alignment vertical="center"/>
    </xf>
    <xf numFmtId="0" fontId="1" fillId="18" borderId="63" xfId="0" applyFont="1" applyFill="1" applyBorder="1" applyAlignment="1">
      <alignment vertical="center"/>
    </xf>
    <xf numFmtId="0" fontId="1" fillId="0" borderId="5" xfId="0" applyFont="1" applyBorder="1" applyAlignment="1">
      <alignment vertical="center"/>
    </xf>
    <xf numFmtId="0" fontId="13" fillId="0" borderId="0" xfId="0" applyFont="1" applyAlignment="1">
      <alignment vertical="center"/>
    </xf>
    <xf numFmtId="0" fontId="1" fillId="18" borderId="0" xfId="0" applyFont="1" applyFill="1" applyAlignment="1">
      <alignment vertical="center"/>
    </xf>
    <xf numFmtId="0" fontId="1" fillId="18" borderId="60" xfId="0" applyFont="1" applyFill="1" applyBorder="1" applyAlignment="1">
      <alignment vertical="center"/>
    </xf>
    <xf numFmtId="2" fontId="1" fillId="18" borderId="29" xfId="0" applyNumberFormat="1" applyFont="1" applyFill="1" applyBorder="1" applyAlignment="1">
      <alignment vertical="center"/>
    </xf>
    <xf numFmtId="164" fontId="13" fillId="0" borderId="29" xfId="0" applyNumberFormat="1" applyFont="1" applyBorder="1" applyAlignment="1">
      <alignment vertical="center"/>
    </xf>
    <xf numFmtId="164" fontId="0" fillId="0" borderId="29" xfId="0" applyNumberFormat="1" applyBorder="1" applyAlignment="1">
      <alignment vertical="center"/>
    </xf>
    <xf numFmtId="164" fontId="0" fillId="6" borderId="3" xfId="0" applyNumberFormat="1" applyFill="1" applyBorder="1" applyAlignment="1">
      <alignment vertical="center"/>
    </xf>
    <xf numFmtId="2" fontId="1" fillId="18" borderId="31" xfId="0" applyNumberFormat="1" applyFont="1" applyFill="1" applyBorder="1" applyAlignment="1">
      <alignment vertical="center"/>
    </xf>
    <xf numFmtId="0" fontId="1" fillId="18" borderId="30" xfId="0" applyFont="1" applyFill="1" applyBorder="1" applyAlignment="1">
      <alignment vertical="center"/>
    </xf>
    <xf numFmtId="164" fontId="13" fillId="0" borderId="62" xfId="0" applyNumberFormat="1" applyFont="1" applyBorder="1" applyAlignment="1">
      <alignment vertical="center"/>
    </xf>
    <xf numFmtId="164" fontId="0" fillId="0" borderId="3" xfId="0" applyNumberFormat="1" applyBorder="1" applyAlignment="1">
      <alignment vertical="center"/>
    </xf>
    <xf numFmtId="0" fontId="1" fillId="0" borderId="17" xfId="0" applyFont="1" applyBorder="1" applyAlignment="1">
      <alignment vertical="center"/>
    </xf>
    <xf numFmtId="165" fontId="0" fillId="15" borderId="33" xfId="0" applyNumberFormat="1" applyFill="1" applyBorder="1" applyAlignment="1">
      <alignment vertical="center"/>
    </xf>
    <xf numFmtId="165" fontId="0" fillId="15" borderId="26" xfId="0" applyNumberFormat="1" applyFill="1" applyBorder="1" applyAlignment="1">
      <alignment vertical="center"/>
    </xf>
    <xf numFmtId="165" fontId="0" fillId="16" borderId="26" xfId="0" applyNumberFormat="1" applyFill="1" applyBorder="1" applyAlignment="1">
      <alignment vertical="center"/>
    </xf>
    <xf numFmtId="165" fontId="0" fillId="0" borderId="26" xfId="0" applyNumberFormat="1" applyBorder="1" applyAlignment="1">
      <alignment vertical="center"/>
    </xf>
    <xf numFmtId="165" fontId="0" fillId="0" borderId="34" xfId="0" applyNumberFormat="1" applyBorder="1" applyAlignment="1">
      <alignment vertical="center"/>
    </xf>
    <xf numFmtId="165" fontId="0" fillId="15" borderId="69" xfId="0" applyNumberFormat="1" applyFill="1" applyBorder="1" applyAlignment="1">
      <alignment vertical="center"/>
    </xf>
    <xf numFmtId="165" fontId="0" fillId="15" borderId="67" xfId="0" applyNumberFormat="1" applyFill="1" applyBorder="1" applyAlignment="1">
      <alignment vertical="center"/>
    </xf>
    <xf numFmtId="165" fontId="0" fillId="16" borderId="66" xfId="0" applyNumberFormat="1" applyFill="1" applyBorder="1" applyAlignment="1">
      <alignment vertical="center"/>
    </xf>
    <xf numFmtId="165" fontId="0" fillId="15" borderId="66" xfId="0" applyNumberFormat="1" applyFill="1" applyBorder="1" applyAlignment="1">
      <alignment vertical="center"/>
    </xf>
    <xf numFmtId="165" fontId="0" fillId="0" borderId="66" xfId="0" applyNumberFormat="1" applyBorder="1" applyAlignment="1">
      <alignment vertical="center"/>
    </xf>
    <xf numFmtId="165" fontId="0" fillId="0" borderId="68" xfId="0" applyNumberFormat="1" applyBorder="1" applyAlignment="1">
      <alignment vertical="center"/>
    </xf>
    <xf numFmtId="165" fontId="0" fillId="15" borderId="38" xfId="0" applyNumberFormat="1" applyFill="1" applyBorder="1" applyAlignment="1">
      <alignment vertical="center"/>
    </xf>
    <xf numFmtId="165" fontId="0" fillId="16" borderId="67" xfId="0" applyNumberFormat="1" applyFill="1" applyBorder="1" applyAlignment="1">
      <alignment vertical="center"/>
    </xf>
    <xf numFmtId="165" fontId="0" fillId="16" borderId="38" xfId="0" applyNumberFormat="1" applyFill="1" applyBorder="1" applyAlignment="1">
      <alignment vertical="center"/>
    </xf>
    <xf numFmtId="165" fontId="0" fillId="16" borderId="70" xfId="0" applyNumberFormat="1" applyFill="1" applyBorder="1" applyAlignment="1">
      <alignment vertical="center"/>
    </xf>
    <xf numFmtId="165" fontId="0" fillId="15" borderId="71" xfId="0" applyNumberFormat="1" applyFill="1" applyBorder="1" applyAlignment="1">
      <alignment vertical="center"/>
    </xf>
    <xf numFmtId="165" fontId="0" fillId="16" borderId="71" xfId="0" applyNumberFormat="1" applyFill="1" applyBorder="1" applyAlignment="1">
      <alignment vertical="center"/>
    </xf>
    <xf numFmtId="165" fontId="0" fillId="0" borderId="71" xfId="0" applyNumberFormat="1" applyBorder="1" applyAlignment="1">
      <alignment vertical="center"/>
    </xf>
    <xf numFmtId="165" fontId="0" fillId="0" borderId="72" xfId="0" applyNumberFormat="1" applyBorder="1" applyAlignment="1">
      <alignment vertical="center"/>
    </xf>
    <xf numFmtId="165" fontId="0" fillId="16" borderId="73" xfId="0" applyNumberFormat="1" applyFill="1" applyBorder="1" applyAlignment="1">
      <alignment vertical="center"/>
    </xf>
    <xf numFmtId="165" fontId="0" fillId="0" borderId="17" xfId="0" applyNumberFormat="1" applyBorder="1" applyAlignment="1">
      <alignment vertical="center"/>
    </xf>
    <xf numFmtId="165" fontId="0" fillId="0" borderId="18" xfId="0" applyNumberFormat="1" applyBorder="1" applyAlignment="1">
      <alignment vertical="center"/>
    </xf>
    <xf numFmtId="165" fontId="0" fillId="0" borderId="20" xfId="0" applyNumberFormat="1" applyBorder="1" applyAlignment="1">
      <alignment vertical="center"/>
    </xf>
    <xf numFmtId="165" fontId="0" fillId="4" borderId="74" xfId="0" applyNumberFormat="1" applyFill="1" applyBorder="1" applyAlignment="1">
      <alignment horizontal="center" vertical="center"/>
    </xf>
    <xf numFmtId="165" fontId="0" fillId="5" borderId="74" xfId="0" applyNumberFormat="1" applyFill="1" applyBorder="1" applyAlignment="1">
      <alignment horizontal="center" vertical="center"/>
    </xf>
    <xf numFmtId="0" fontId="8" fillId="5" borderId="75" xfId="0" applyFont="1" applyFill="1" applyBorder="1" applyAlignment="1">
      <alignment horizontal="center" vertical="center"/>
    </xf>
    <xf numFmtId="0" fontId="8" fillId="4" borderId="75" xfId="0" applyFont="1" applyFill="1" applyBorder="1" applyAlignment="1">
      <alignment horizontal="center" vertical="center"/>
    </xf>
    <xf numFmtId="0" fontId="8" fillId="4" borderId="77" xfId="0" applyFont="1" applyFill="1" applyBorder="1" applyAlignment="1">
      <alignment horizontal="center" vertical="center"/>
    </xf>
    <xf numFmtId="165" fontId="0" fillId="4" borderId="79" xfId="0" applyNumberFormat="1" applyFill="1" applyBorder="1" applyAlignment="1">
      <alignment horizontal="center" vertical="center"/>
    </xf>
    <xf numFmtId="0" fontId="8" fillId="5" borderId="76" xfId="0" applyFont="1" applyFill="1" applyBorder="1" applyAlignment="1">
      <alignment horizontal="center" vertical="center"/>
    </xf>
    <xf numFmtId="0" fontId="1" fillId="5" borderId="78" xfId="0" applyFont="1" applyFill="1" applyBorder="1" applyAlignment="1">
      <alignment horizontal="center" vertical="center"/>
    </xf>
    <xf numFmtId="0" fontId="8" fillId="0" borderId="83" xfId="0" applyFont="1" applyBorder="1" applyAlignment="1">
      <alignment vertical="center"/>
    </xf>
    <xf numFmtId="0" fontId="11" fillId="0" borderId="80" xfId="0" applyFont="1" applyBorder="1" applyAlignment="1">
      <alignment horizontal="center" vertical="center"/>
    </xf>
    <xf numFmtId="0" fontId="11" fillId="0" borderId="18" xfId="0" applyFont="1" applyBorder="1" applyAlignment="1">
      <alignment horizontal="center" vertical="center"/>
    </xf>
    <xf numFmtId="0" fontId="12" fillId="0" borderId="18" xfId="0" applyFont="1" applyBorder="1" applyAlignment="1">
      <alignment horizontal="center" vertical="center"/>
    </xf>
    <xf numFmtId="0" fontId="12" fillId="0" borderId="84" xfId="0" applyFont="1" applyBorder="1" applyAlignment="1">
      <alignment horizontal="center" vertical="center"/>
    </xf>
    <xf numFmtId="165" fontId="0" fillId="0" borderId="85" xfId="0" applyNumberFormat="1" applyBorder="1" applyAlignment="1">
      <alignment vertical="center"/>
    </xf>
    <xf numFmtId="165" fontId="0" fillId="0" borderId="37" xfId="0" applyNumberFormat="1" applyBorder="1" applyAlignment="1">
      <alignment vertical="center"/>
    </xf>
    <xf numFmtId="165" fontId="0" fillId="0" borderId="86" xfId="0" applyNumberFormat="1" applyBorder="1" applyAlignment="1">
      <alignment vertical="center"/>
    </xf>
    <xf numFmtId="0" fontId="1" fillId="0" borderId="15" xfId="0" applyFont="1" applyBorder="1" applyAlignment="1">
      <alignment vertical="center"/>
    </xf>
    <xf numFmtId="0" fontId="1" fillId="0" borderId="6" xfId="0" applyFont="1" applyBorder="1" applyAlignment="1">
      <alignment vertical="center"/>
    </xf>
    <xf numFmtId="164" fontId="0" fillId="0" borderId="27" xfId="0" applyNumberFormat="1" applyBorder="1" applyAlignment="1">
      <alignment vertical="center"/>
    </xf>
    <xf numFmtId="164" fontId="0" fillId="0" borderId="63" xfId="0" applyNumberFormat="1" applyBorder="1" applyAlignment="1">
      <alignment vertical="center"/>
    </xf>
    <xf numFmtId="0" fontId="16" fillId="0" borderId="18" xfId="0" applyFont="1" applyBorder="1" applyAlignment="1">
      <alignment horizontal="center" vertical="center"/>
    </xf>
    <xf numFmtId="165" fontId="13" fillId="4" borderId="74" xfId="0" applyNumberFormat="1" applyFont="1" applyFill="1" applyBorder="1" applyAlignment="1">
      <alignment horizontal="center" vertical="center"/>
    </xf>
    <xf numFmtId="165" fontId="13" fillId="4" borderId="79" xfId="0" applyNumberFormat="1" applyFont="1" applyFill="1" applyBorder="1" applyAlignment="1">
      <alignment horizontal="center" vertical="center"/>
    </xf>
    <xf numFmtId="165" fontId="13" fillId="5" borderId="74" xfId="0" applyNumberFormat="1" applyFont="1" applyFill="1" applyBorder="1" applyAlignment="1">
      <alignment horizontal="center" vertical="center"/>
    </xf>
    <xf numFmtId="0" fontId="13" fillId="4" borderId="79" xfId="0" applyFont="1" applyFill="1" applyBorder="1" applyAlignment="1">
      <alignment horizontal="center" vertical="center"/>
    </xf>
    <xf numFmtId="0" fontId="10" fillId="0" borderId="8" xfId="0" applyFont="1" applyBorder="1" applyAlignment="1">
      <alignment vertical="center"/>
    </xf>
    <xf numFmtId="0" fontId="1" fillId="0" borderId="2" xfId="0" applyFont="1" applyBorder="1" applyAlignment="1">
      <alignment vertical="center"/>
    </xf>
    <xf numFmtId="0" fontId="1" fillId="0" borderId="7" xfId="0" applyFont="1" applyBorder="1" applyAlignment="1">
      <alignment vertical="center"/>
    </xf>
    <xf numFmtId="0" fontId="13" fillId="0" borderId="8"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0" fillId="0" borderId="5" xfId="0" applyNumberFormat="1" applyBorder="1" applyAlignment="1">
      <alignment vertical="center"/>
    </xf>
    <xf numFmtId="2" fontId="0" fillId="0" borderId="6" xfId="0" applyNumberFormat="1" applyBorder="1" applyAlignment="1">
      <alignment vertical="center"/>
    </xf>
    <xf numFmtId="0" fontId="13" fillId="0" borderId="5" xfId="0" applyFont="1" applyBorder="1" applyAlignment="1">
      <alignment horizontal="center" vertical="center"/>
    </xf>
    <xf numFmtId="0" fontId="13" fillId="0" borderId="5" xfId="0" applyFont="1" applyBorder="1" applyAlignment="1">
      <alignment horizontal="left" vertical="center"/>
    </xf>
    <xf numFmtId="0" fontId="13" fillId="0" borderId="0" xfId="0" applyFont="1" applyAlignment="1">
      <alignment horizontal="left" vertical="center"/>
    </xf>
    <xf numFmtId="0" fontId="13" fillId="0" borderId="6" xfId="0" applyFont="1" applyBorder="1" applyAlignment="1">
      <alignment horizontal="left" vertical="center"/>
    </xf>
    <xf numFmtId="164" fontId="13" fillId="0" borderId="0" xfId="0" applyNumberFormat="1" applyFont="1" applyAlignment="1">
      <alignment horizontal="right" vertical="center"/>
    </xf>
    <xf numFmtId="164" fontId="1" fillId="0" borderId="3" xfId="0" applyNumberFormat="1" applyFont="1" applyBorder="1" applyAlignment="1">
      <alignment vertical="center"/>
    </xf>
    <xf numFmtId="164" fontId="1" fillId="0" borderId="8" xfId="0" applyNumberFormat="1" applyFont="1" applyBorder="1" applyAlignment="1">
      <alignment vertical="center"/>
    </xf>
    <xf numFmtId="0" fontId="0" fillId="0" borderId="0" xfId="0" applyAlignment="1">
      <alignment vertical="center" wrapText="1"/>
    </xf>
    <xf numFmtId="164" fontId="1" fillId="0" borderId="4" xfId="0" applyNumberFormat="1" applyFont="1" applyBorder="1" applyAlignment="1">
      <alignment vertical="center"/>
    </xf>
    <xf numFmtId="164" fontId="1" fillId="0" borderId="9" xfId="0" applyNumberFormat="1" applyFont="1" applyBorder="1" applyAlignment="1">
      <alignment vertical="center"/>
    </xf>
    <xf numFmtId="2" fontId="10" fillId="0" borderId="0" xfId="0" applyNumberFormat="1" applyFont="1" applyAlignment="1">
      <alignment vertical="center"/>
    </xf>
    <xf numFmtId="2" fontId="10" fillId="0" borderId="8" xfId="0" applyNumberFormat="1" applyFont="1" applyBorder="1" applyAlignment="1">
      <alignment vertical="center"/>
    </xf>
    <xf numFmtId="164" fontId="1" fillId="0" borderId="0" xfId="0" applyNumberFormat="1" applyFont="1" applyAlignment="1">
      <alignment vertical="center"/>
    </xf>
    <xf numFmtId="0" fontId="13" fillId="0" borderId="7" xfId="0" applyFont="1" applyBorder="1" applyAlignment="1">
      <alignment horizontal="center" vertical="center"/>
    </xf>
    <xf numFmtId="3" fontId="13" fillId="0" borderId="0" xfId="0" applyNumberFormat="1" applyFont="1" applyAlignment="1">
      <alignment vertical="center"/>
    </xf>
    <xf numFmtId="2" fontId="0" fillId="0" borderId="8" xfId="0" applyNumberFormat="1" applyBorder="1" applyAlignment="1">
      <alignment horizontal="right" vertical="center"/>
    </xf>
    <xf numFmtId="164" fontId="4" fillId="0" borderId="5" xfId="0" applyNumberFormat="1" applyFont="1" applyBorder="1" applyAlignment="1">
      <alignment vertical="center"/>
    </xf>
    <xf numFmtId="0" fontId="0" fillId="22" borderId="0" xfId="0" applyFill="1" applyAlignment="1">
      <alignment vertical="center" wrapText="1"/>
    </xf>
    <xf numFmtId="0" fontId="0" fillId="23" borderId="0" xfId="0" applyFill="1" applyAlignment="1">
      <alignment vertical="center" wrapText="1"/>
    </xf>
    <xf numFmtId="0" fontId="1" fillId="23" borderId="0" xfId="0" applyFont="1" applyFill="1" applyAlignment="1">
      <alignment horizontal="center" vertical="center" wrapText="1"/>
    </xf>
    <xf numFmtId="0" fontId="0" fillId="23" borderId="30" xfId="0" applyFill="1" applyBorder="1" applyAlignment="1">
      <alignment vertical="center" wrapText="1"/>
    </xf>
    <xf numFmtId="0" fontId="19" fillId="24" borderId="87" xfId="0" applyFont="1" applyFill="1" applyBorder="1" applyAlignment="1">
      <alignment horizontal="center" vertical="center" wrapText="1"/>
    </xf>
    <xf numFmtId="0" fontId="1" fillId="0" borderId="0" xfId="0" applyFont="1" applyAlignment="1">
      <alignment vertical="center" wrapText="1"/>
    </xf>
    <xf numFmtId="0" fontId="1" fillId="22" borderId="0" xfId="0" applyFont="1" applyFill="1" applyAlignment="1">
      <alignment vertical="center" wrapText="1"/>
    </xf>
    <xf numFmtId="0" fontId="1" fillId="23" borderId="0" xfId="0" applyFont="1" applyFill="1" applyAlignment="1">
      <alignment vertical="center" wrapText="1"/>
    </xf>
    <xf numFmtId="0" fontId="19" fillId="24" borderId="88" xfId="0" applyFont="1" applyFill="1" applyBorder="1" applyAlignment="1">
      <alignment horizontal="center" vertical="center" wrapText="1"/>
    </xf>
    <xf numFmtId="0" fontId="20" fillId="0" borderId="1" xfId="0" applyFont="1" applyBorder="1" applyAlignment="1">
      <alignment vertical="center"/>
    </xf>
    <xf numFmtId="0" fontId="13" fillId="0" borderId="20" xfId="0" applyFont="1" applyBorder="1" applyAlignment="1">
      <alignment vertical="center" wrapText="1"/>
    </xf>
    <xf numFmtId="0" fontId="13" fillId="0" borderId="27" xfId="0" applyFont="1" applyBorder="1" applyAlignment="1">
      <alignment vertical="center" wrapText="1"/>
    </xf>
    <xf numFmtId="0" fontId="19" fillId="23" borderId="0" xfId="0" applyFont="1" applyFill="1" applyAlignment="1">
      <alignment horizontal="center" vertical="center" wrapText="1"/>
    </xf>
    <xf numFmtId="0" fontId="0" fillId="23" borderId="0" xfId="0" applyFill="1" applyAlignment="1">
      <alignment horizontal="left" vertical="center" wrapText="1" shrinkToFit="1"/>
    </xf>
    <xf numFmtId="0" fontId="0" fillId="23" borderId="0" xfId="0" applyFill="1" applyAlignment="1">
      <alignment horizontal="center" vertical="center" wrapText="1" shrinkToFit="1"/>
    </xf>
    <xf numFmtId="0" fontId="13" fillId="23" borderId="0" xfId="0" applyFont="1" applyFill="1" applyAlignment="1">
      <alignment vertical="center" wrapText="1"/>
    </xf>
    <xf numFmtId="0" fontId="18" fillId="25" borderId="1" xfId="0" applyFont="1" applyFill="1" applyBorder="1" applyAlignment="1">
      <alignment horizontal="center" vertical="center" wrapText="1"/>
    </xf>
    <xf numFmtId="0" fontId="0" fillId="0" borderId="5"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164" fontId="0" fillId="0" borderId="4" xfId="0" applyNumberFormat="1" applyBorder="1" applyAlignment="1">
      <alignment vertical="center"/>
    </xf>
    <xf numFmtId="164" fontId="0" fillId="0" borderId="9" xfId="0" applyNumberFormat="1" applyBorder="1" applyAlignment="1">
      <alignment vertical="center"/>
    </xf>
    <xf numFmtId="0" fontId="0" fillId="0" borderId="29" xfId="0" applyBorder="1" applyAlignment="1">
      <alignment vertical="center"/>
    </xf>
    <xf numFmtId="2" fontId="1" fillId="18" borderId="63" xfId="0" applyNumberFormat="1" applyFont="1" applyFill="1" applyBorder="1" applyAlignment="1">
      <alignment vertical="center"/>
    </xf>
    <xf numFmtId="0" fontId="13" fillId="0" borderId="2" xfId="0" applyFont="1" applyBorder="1" applyAlignment="1">
      <alignment vertical="center"/>
    </xf>
    <xf numFmtId="164" fontId="13" fillId="0" borderId="0" xfId="0" applyNumberFormat="1" applyFont="1" applyAlignment="1">
      <alignment vertical="center"/>
    </xf>
    <xf numFmtId="164" fontId="13" fillId="0" borderId="6" xfId="0" applyNumberFormat="1" applyFont="1" applyBorder="1" applyAlignment="1">
      <alignment vertical="center"/>
    </xf>
    <xf numFmtId="0" fontId="13" fillId="0" borderId="5" xfId="0" applyFont="1" applyBorder="1" applyAlignment="1">
      <alignment vertical="center"/>
    </xf>
    <xf numFmtId="0" fontId="1" fillId="18" borderId="7" xfId="0" applyFont="1" applyFill="1" applyBorder="1" applyAlignment="1">
      <alignment vertical="center"/>
    </xf>
    <xf numFmtId="2" fontId="1" fillId="18" borderId="89" xfId="0" applyNumberFormat="1" applyFont="1" applyFill="1" applyBorder="1" applyAlignment="1">
      <alignment vertical="center"/>
    </xf>
    <xf numFmtId="0" fontId="1" fillId="18" borderId="8" xfId="0" applyFont="1" applyFill="1" applyBorder="1" applyAlignment="1">
      <alignment vertical="center"/>
    </xf>
    <xf numFmtId="2" fontId="1" fillId="18" borderId="8" xfId="0" applyNumberFormat="1" applyFont="1" applyFill="1" applyBorder="1" applyAlignment="1">
      <alignment vertical="center"/>
    </xf>
    <xf numFmtId="0" fontId="1" fillId="18" borderId="21" xfId="0" applyFont="1" applyFill="1" applyBorder="1" applyAlignment="1">
      <alignment vertical="center"/>
    </xf>
    <xf numFmtId="2" fontId="1" fillId="18" borderId="9" xfId="0" applyNumberFormat="1" applyFont="1" applyFill="1" applyBorder="1" applyAlignment="1">
      <alignment vertical="center"/>
    </xf>
    <xf numFmtId="0" fontId="8" fillId="4" borderId="93" xfId="0" applyFont="1" applyFill="1" applyBorder="1" applyAlignment="1">
      <alignment horizontal="center" vertical="center"/>
    </xf>
    <xf numFmtId="0" fontId="8" fillId="5" borderId="94" xfId="0" applyFont="1" applyFill="1" applyBorder="1" applyAlignment="1">
      <alignment horizontal="center" vertical="center"/>
    </xf>
    <xf numFmtId="0" fontId="1" fillId="4" borderId="95" xfId="0" applyFont="1" applyFill="1" applyBorder="1" applyAlignment="1">
      <alignment horizontal="center" vertical="center"/>
    </xf>
    <xf numFmtId="165" fontId="0" fillId="5" borderId="96" xfId="0" applyNumberFormat="1" applyFill="1" applyBorder="1" applyAlignment="1">
      <alignment horizontal="center" vertical="center"/>
    </xf>
    <xf numFmtId="165" fontId="13" fillId="5" borderId="96" xfId="0" applyNumberFormat="1" applyFont="1" applyFill="1" applyBorder="1" applyAlignment="1">
      <alignment horizontal="center" vertical="center"/>
    </xf>
    <xf numFmtId="0" fontId="13" fillId="5" borderId="96" xfId="0" applyFont="1" applyFill="1" applyBorder="1" applyAlignment="1">
      <alignment horizontal="center" vertical="center"/>
    </xf>
    <xf numFmtId="165" fontId="8" fillId="4" borderId="98" xfId="0" applyNumberFormat="1" applyFont="1" applyFill="1" applyBorder="1" applyAlignment="1">
      <alignment horizontal="center" vertical="center"/>
    </xf>
    <xf numFmtId="165" fontId="0" fillId="4" borderId="102" xfId="0" applyNumberFormat="1" applyFill="1" applyBorder="1" applyAlignment="1">
      <alignment horizontal="center" vertical="center"/>
    </xf>
    <xf numFmtId="165" fontId="21" fillId="5" borderId="98" xfId="0" applyNumberFormat="1" applyFont="1" applyFill="1" applyBorder="1" applyAlignment="1">
      <alignment horizontal="center" vertical="center"/>
    </xf>
    <xf numFmtId="165" fontId="10" fillId="5" borderId="99" xfId="0" applyNumberFormat="1" applyFont="1" applyFill="1" applyBorder="1" applyAlignment="1">
      <alignment horizontal="center" vertical="center"/>
    </xf>
    <xf numFmtId="0" fontId="8" fillId="4" borderId="101" xfId="0" applyFont="1" applyFill="1" applyBorder="1" applyAlignment="1">
      <alignment horizontal="center" vertical="center"/>
    </xf>
    <xf numFmtId="0" fontId="8" fillId="27" borderId="101" xfId="0" applyFont="1" applyFill="1" applyBorder="1" applyAlignment="1">
      <alignment horizontal="center" vertical="center"/>
    </xf>
    <xf numFmtId="165" fontId="0" fillId="4" borderId="100" xfId="0" applyNumberFormat="1" applyFill="1" applyBorder="1" applyAlignment="1">
      <alignment horizontal="center" vertical="center"/>
    </xf>
    <xf numFmtId="165" fontId="0" fillId="27" borderId="104" xfId="0" applyNumberFormat="1" applyFill="1" applyBorder="1" applyAlignment="1">
      <alignment horizontal="center" vertical="center"/>
    </xf>
    <xf numFmtId="0" fontId="0" fillId="0" borderId="31" xfId="0" applyBorder="1" applyAlignment="1">
      <alignment vertical="center"/>
    </xf>
    <xf numFmtId="0" fontId="1" fillId="14" borderId="107" xfId="0" applyFont="1" applyFill="1" applyBorder="1" applyAlignment="1">
      <alignment horizontal="center" vertical="center"/>
    </xf>
    <xf numFmtId="2" fontId="13" fillId="14" borderId="108" xfId="0" applyNumberFormat="1" applyFont="1" applyFill="1" applyBorder="1" applyAlignment="1">
      <alignment horizontal="center" vertical="center"/>
    </xf>
    <xf numFmtId="0" fontId="1" fillId="14" borderId="114" xfId="0" applyFont="1" applyFill="1" applyBorder="1" applyAlignment="1">
      <alignment horizontal="center" vertical="center"/>
    </xf>
    <xf numFmtId="0" fontId="1" fillId="14" borderId="113" xfId="0" applyFont="1" applyFill="1" applyBorder="1" applyAlignment="1">
      <alignment horizontal="center" vertical="center"/>
    </xf>
    <xf numFmtId="0" fontId="1" fillId="30" borderId="0" xfId="0" applyFont="1" applyFill="1" applyAlignment="1">
      <alignment horizontal="center" vertical="center"/>
    </xf>
    <xf numFmtId="0" fontId="1" fillId="30" borderId="112" xfId="0" applyFont="1" applyFill="1" applyBorder="1" applyAlignment="1">
      <alignment horizontal="center" vertical="center"/>
    </xf>
    <xf numFmtId="164" fontId="0" fillId="0" borderId="25" xfId="0" applyNumberFormat="1" applyBorder="1" applyAlignment="1">
      <alignment vertical="center"/>
    </xf>
    <xf numFmtId="164" fontId="0" fillId="0" borderId="30" xfId="0" applyNumberFormat="1" applyBorder="1" applyAlignment="1">
      <alignment vertical="center"/>
    </xf>
    <xf numFmtId="11" fontId="0" fillId="0" borderId="30" xfId="0" applyNumberFormat="1" applyBorder="1" applyAlignment="1">
      <alignment vertical="center"/>
    </xf>
    <xf numFmtId="11" fontId="0" fillId="0" borderId="25" xfId="0" applyNumberFormat="1" applyBorder="1" applyAlignment="1">
      <alignment vertical="center"/>
    </xf>
    <xf numFmtId="2" fontId="1" fillId="14" borderId="53" xfId="0" applyNumberFormat="1" applyFont="1" applyFill="1" applyBorder="1" applyAlignment="1">
      <alignment horizontal="center" vertical="center"/>
    </xf>
    <xf numFmtId="2" fontId="13" fillId="14" borderId="109" xfId="0" applyNumberFormat="1" applyFont="1" applyFill="1" applyBorder="1" applyAlignment="1">
      <alignment horizontal="center" vertical="center"/>
    </xf>
    <xf numFmtId="2" fontId="13" fillId="15" borderId="54" xfId="0" applyNumberFormat="1" applyFont="1" applyFill="1" applyBorder="1" applyAlignment="1">
      <alignment horizontal="center" vertical="center"/>
    </xf>
    <xf numFmtId="2" fontId="1" fillId="15" borderId="56" xfId="0" applyNumberFormat="1" applyFont="1" applyFill="1" applyBorder="1" applyAlignment="1">
      <alignment horizontal="center" vertical="center"/>
    </xf>
    <xf numFmtId="2" fontId="13" fillId="14" borderId="54" xfId="0" applyNumberFormat="1" applyFont="1" applyFill="1" applyBorder="1" applyAlignment="1">
      <alignment horizontal="center" vertical="center"/>
    </xf>
    <xf numFmtId="2" fontId="13" fillId="15" borderId="4" xfId="0" applyNumberFormat="1" applyFont="1" applyFill="1" applyBorder="1" applyAlignment="1">
      <alignment horizontal="center" vertical="center"/>
    </xf>
    <xf numFmtId="164" fontId="0" fillId="14" borderId="29" xfId="0" applyNumberFormat="1" applyFill="1" applyBorder="1" applyAlignment="1">
      <alignment horizontal="center" vertical="center"/>
    </xf>
    <xf numFmtId="164" fontId="0" fillId="14" borderId="111" xfId="0" applyNumberFormat="1" applyFill="1" applyBorder="1" applyAlignment="1">
      <alignment horizontal="center" vertical="center"/>
    </xf>
    <xf numFmtId="164" fontId="0" fillId="30" borderId="115" xfId="0" applyNumberFormat="1" applyFill="1" applyBorder="1" applyAlignment="1">
      <alignment horizontal="center" vertical="center"/>
    </xf>
    <xf numFmtId="164" fontId="0" fillId="30" borderId="31" xfId="0" applyNumberFormat="1" applyFill="1" applyBorder="1" applyAlignment="1">
      <alignment horizontal="center" vertical="center"/>
    </xf>
    <xf numFmtId="2" fontId="1" fillId="15" borderId="57" xfId="0" applyNumberFormat="1" applyFont="1" applyFill="1" applyBorder="1" applyAlignment="1">
      <alignment horizontal="center" vertical="center"/>
    </xf>
    <xf numFmtId="165" fontId="0" fillId="14" borderId="110" xfId="0" applyNumberFormat="1" applyFill="1" applyBorder="1" applyAlignment="1">
      <alignment horizontal="center" vertical="center"/>
    </xf>
    <xf numFmtId="165" fontId="0" fillId="14" borderId="111" xfId="0" applyNumberFormat="1" applyFill="1" applyBorder="1" applyAlignment="1">
      <alignment horizontal="center" vertical="center"/>
    </xf>
    <xf numFmtId="165" fontId="0" fillId="30" borderId="110" xfId="0" applyNumberFormat="1" applyFill="1" applyBorder="1" applyAlignment="1">
      <alignment horizontal="center" vertical="center"/>
    </xf>
    <xf numFmtId="165" fontId="0" fillId="30" borderId="111" xfId="0" applyNumberFormat="1" applyFill="1" applyBorder="1" applyAlignment="1">
      <alignment horizontal="center" vertical="center"/>
    </xf>
    <xf numFmtId="2" fontId="4" fillId="0" borderId="3" xfId="0" applyNumberFormat="1" applyFont="1" applyBorder="1" applyAlignment="1">
      <alignment vertical="center"/>
    </xf>
    <xf numFmtId="2" fontId="4" fillId="0" borderId="0" xfId="0" applyNumberFormat="1" applyFont="1" applyAlignment="1">
      <alignment vertical="center"/>
    </xf>
    <xf numFmtId="2" fontId="4" fillId="0" borderId="8" xfId="0" applyNumberFormat="1" applyFont="1" applyBorder="1" applyAlignment="1">
      <alignment vertical="center"/>
    </xf>
    <xf numFmtId="2" fontId="4" fillId="0" borderId="3" xfId="0" applyNumberFormat="1" applyFont="1" applyBorder="1" applyAlignment="1">
      <alignment horizontal="right" vertical="center"/>
    </xf>
    <xf numFmtId="2" fontId="4" fillId="0" borderId="0" xfId="0" applyNumberFormat="1" applyFont="1" applyAlignment="1">
      <alignment horizontal="right" vertical="center"/>
    </xf>
    <xf numFmtId="0" fontId="4" fillId="0" borderId="6" xfId="0" applyFont="1" applyBorder="1" applyAlignment="1">
      <alignment horizontal="left" vertical="center"/>
    </xf>
    <xf numFmtId="2" fontId="0" fillId="0" borderId="116" xfId="0" applyNumberFormat="1" applyBorder="1" applyAlignment="1">
      <alignment vertical="center"/>
    </xf>
    <xf numFmtId="2" fontId="0" fillId="0" borderId="117" xfId="0" applyNumberFormat="1" applyBorder="1" applyAlignment="1">
      <alignment vertical="center"/>
    </xf>
    <xf numFmtId="2" fontId="0" fillId="17" borderId="118" xfId="0" applyNumberFormat="1" applyFill="1" applyBorder="1" applyAlignment="1">
      <alignment vertical="center"/>
    </xf>
    <xf numFmtId="2" fontId="0" fillId="0" borderId="119" xfId="0" applyNumberFormat="1" applyBorder="1" applyAlignment="1">
      <alignment horizontal="right" vertical="center"/>
    </xf>
    <xf numFmtId="2" fontId="0" fillId="17" borderId="85" xfId="0" applyNumberFormat="1" applyFill="1" applyBorder="1" applyAlignment="1">
      <alignment horizontal="right" vertical="center"/>
    </xf>
    <xf numFmtId="0" fontId="0" fillId="0" borderId="71" xfId="0" applyBorder="1" applyAlignment="1">
      <alignment vertical="center"/>
    </xf>
    <xf numFmtId="165" fontId="0" fillId="0" borderId="37" xfId="0" applyNumberFormat="1" applyBorder="1"/>
    <xf numFmtId="2" fontId="0" fillId="0" borderId="47" xfId="0" applyNumberFormat="1" applyBorder="1"/>
    <xf numFmtId="0" fontId="5" fillId="0" borderId="0" xfId="0" applyFont="1" applyAlignment="1">
      <alignment horizontal="center" vertical="center"/>
    </xf>
    <xf numFmtId="0" fontId="5" fillId="0" borderId="25" xfId="0" applyFont="1" applyBorder="1" applyAlignment="1">
      <alignment horizontal="center" vertical="center"/>
    </xf>
    <xf numFmtId="0" fontId="0" fillId="0" borderId="25" xfId="0" applyBorder="1" applyAlignment="1">
      <alignment horizontal="center" vertical="center"/>
    </xf>
    <xf numFmtId="0" fontId="1" fillId="0" borderId="0" xfId="0" applyFont="1" applyAlignment="1">
      <alignment horizontal="center" vertical="center"/>
    </xf>
    <xf numFmtId="0" fontId="1" fillId="0" borderId="29" xfId="0" applyFont="1" applyBorder="1" applyAlignment="1">
      <alignment vertical="center"/>
    </xf>
    <xf numFmtId="0" fontId="1" fillId="0" borderId="5" xfId="0" applyFont="1" applyBorder="1" applyAlignment="1">
      <alignment horizontal="center" vertical="center"/>
    </xf>
    <xf numFmtId="0" fontId="5" fillId="0" borderId="3" xfId="0" applyFont="1" applyBorder="1" applyAlignment="1">
      <alignment horizontal="center" vertical="center"/>
    </xf>
    <xf numFmtId="0" fontId="1" fillId="0" borderId="8" xfId="0" applyFont="1" applyBorder="1" applyAlignment="1">
      <alignment horizontal="center" vertical="center"/>
    </xf>
    <xf numFmtId="2" fontId="0" fillId="14" borderId="110" xfId="0" applyNumberFormat="1" applyFill="1" applyBorder="1" applyAlignment="1">
      <alignment horizontal="center" vertical="center"/>
    </xf>
    <xf numFmtId="2" fontId="0" fillId="14" borderId="111" xfId="0" applyNumberFormat="1" applyFill="1" applyBorder="1" applyAlignment="1">
      <alignment horizontal="center" vertical="center"/>
    </xf>
    <xf numFmtId="2" fontId="0" fillId="30" borderId="110" xfId="0" applyNumberFormat="1" applyFill="1" applyBorder="1" applyAlignment="1">
      <alignment horizontal="center" vertical="center"/>
    </xf>
    <xf numFmtId="2" fontId="0" fillId="30" borderId="111" xfId="0" applyNumberFormat="1" applyFill="1" applyBorder="1" applyAlignment="1">
      <alignment horizontal="center" vertical="center"/>
    </xf>
    <xf numFmtId="0" fontId="11" fillId="0" borderId="0" xfId="0" applyFont="1" applyAlignment="1">
      <alignment vertical="center"/>
    </xf>
    <xf numFmtId="0" fontId="13"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1" fillId="23" borderId="13" xfId="0" applyFont="1" applyFill="1" applyBorder="1" applyAlignment="1">
      <alignment vertical="center" wrapText="1"/>
    </xf>
    <xf numFmtId="0" fontId="1" fillId="23" borderId="15" xfId="0" applyFont="1" applyFill="1" applyBorder="1" applyAlignment="1">
      <alignment vertical="center" wrapText="1"/>
    </xf>
    <xf numFmtId="0" fontId="13" fillId="0" borderId="120" xfId="0" applyFont="1" applyBorder="1" applyAlignment="1">
      <alignment vertical="center" wrapText="1"/>
    </xf>
    <xf numFmtId="0" fontId="13" fillId="0" borderId="29" xfId="0" applyFont="1" applyBorder="1" applyAlignment="1">
      <alignment vertical="center" wrapText="1"/>
    </xf>
    <xf numFmtId="0" fontId="13" fillId="0" borderId="121" xfId="0" applyFont="1" applyBorder="1" applyAlignment="1">
      <alignment vertical="center" wrapText="1"/>
    </xf>
    <xf numFmtId="0" fontId="13" fillId="0" borderId="122" xfId="0" applyFont="1" applyBorder="1" applyAlignment="1">
      <alignment vertical="center" wrapText="1"/>
    </xf>
    <xf numFmtId="0" fontId="13" fillId="0" borderId="31" xfId="0" applyFont="1" applyBorder="1" applyAlignment="1">
      <alignment vertical="center" wrapText="1"/>
    </xf>
    <xf numFmtId="0" fontId="13" fillId="23" borderId="123" xfId="0" applyFont="1" applyFill="1" applyBorder="1" applyAlignment="1">
      <alignment vertical="center" wrapText="1"/>
    </xf>
    <xf numFmtId="0" fontId="13" fillId="23" borderId="105" xfId="0" applyFont="1" applyFill="1" applyBorder="1" applyAlignment="1">
      <alignment vertical="center" wrapText="1"/>
    </xf>
    <xf numFmtId="0" fontId="13" fillId="23" borderId="124" xfId="0" applyFont="1" applyFill="1" applyBorder="1" applyAlignment="1">
      <alignment vertical="center" wrapText="1"/>
    </xf>
    <xf numFmtId="0" fontId="13" fillId="23" borderId="125" xfId="0" applyFont="1" applyFill="1" applyBorder="1" applyAlignment="1">
      <alignment vertical="center" wrapText="1"/>
    </xf>
    <xf numFmtId="0" fontId="13" fillId="23" borderId="106" xfId="0" applyFont="1" applyFill="1" applyBorder="1" applyAlignment="1">
      <alignment vertical="center" wrapText="1"/>
    </xf>
    <xf numFmtId="0" fontId="13" fillId="0" borderId="123" xfId="0" applyFont="1" applyBorder="1" applyAlignment="1">
      <alignment vertical="center" wrapText="1"/>
    </xf>
    <xf numFmtId="0" fontId="13" fillId="0" borderId="105" xfId="0" applyFont="1" applyBorder="1" applyAlignment="1">
      <alignment vertical="center" wrapText="1"/>
    </xf>
    <xf numFmtId="0" fontId="13" fillId="0" borderId="124" xfId="0" applyFont="1" applyBorder="1" applyAlignment="1">
      <alignment vertical="center" wrapText="1"/>
    </xf>
    <xf numFmtId="0" fontId="13" fillId="0" borderId="125" xfId="0" applyFont="1" applyBorder="1" applyAlignment="1">
      <alignment vertical="center" wrapText="1"/>
    </xf>
    <xf numFmtId="0" fontId="13" fillId="0" borderId="106" xfId="0" applyFont="1" applyBorder="1" applyAlignment="1">
      <alignment vertical="center" wrapText="1"/>
    </xf>
    <xf numFmtId="0" fontId="13" fillId="0" borderId="126" xfId="0" applyFont="1" applyBorder="1" applyAlignment="1">
      <alignment vertical="center" wrapText="1"/>
    </xf>
    <xf numFmtId="0" fontId="22" fillId="23" borderId="14" xfId="0" applyFont="1" applyFill="1" applyBorder="1" applyAlignment="1">
      <alignment vertical="center" wrapText="1"/>
    </xf>
    <xf numFmtId="0" fontId="1" fillId="23" borderId="6" xfId="0" applyFont="1" applyFill="1" applyBorder="1" applyAlignment="1">
      <alignment vertical="center" wrapText="1"/>
    </xf>
    <xf numFmtId="166" fontId="13" fillId="23" borderId="87" xfId="1" applyNumberFormat="1" applyFont="1" applyFill="1" applyBorder="1" applyAlignment="1">
      <alignment vertical="center" wrapText="1"/>
    </xf>
    <xf numFmtId="166" fontId="13" fillId="23" borderId="20" xfId="1" applyNumberFormat="1" applyFont="1" applyFill="1" applyBorder="1" applyAlignment="1">
      <alignment vertical="center" wrapText="1"/>
    </xf>
    <xf numFmtId="164" fontId="10" fillId="0" borderId="3" xfId="0" applyNumberFormat="1" applyFont="1" applyBorder="1" applyAlignment="1">
      <alignment vertical="center"/>
    </xf>
    <xf numFmtId="164" fontId="10" fillId="0" borderId="8" xfId="0" applyNumberFormat="1" applyFont="1" applyBorder="1" applyAlignment="1">
      <alignment vertical="center"/>
    </xf>
    <xf numFmtId="1" fontId="0" fillId="0" borderId="3" xfId="0" applyNumberFormat="1" applyBorder="1" applyAlignment="1">
      <alignment vertical="center"/>
    </xf>
    <xf numFmtId="1" fontId="0" fillId="0" borderId="0" xfId="0" applyNumberFormat="1" applyAlignment="1">
      <alignment vertical="center"/>
    </xf>
    <xf numFmtId="0" fontId="4" fillId="0" borderId="5" xfId="0" applyFont="1" applyBorder="1" applyAlignment="1">
      <alignment vertical="center"/>
    </xf>
    <xf numFmtId="164" fontId="0" fillId="0" borderId="0" xfId="0" applyNumberFormat="1"/>
    <xf numFmtId="0" fontId="0" fillId="0" borderId="3" xfId="0" applyBorder="1"/>
    <xf numFmtId="0" fontId="0" fillId="0" borderId="4" xfId="0" applyBorder="1"/>
    <xf numFmtId="0" fontId="5" fillId="0" borderId="8" xfId="0" applyFont="1" applyBorder="1"/>
    <xf numFmtId="0" fontId="0" fillId="0" borderId="1" xfId="0" applyBorder="1"/>
    <xf numFmtId="0" fontId="13" fillId="0" borderId="2" xfId="0" applyFont="1" applyBorder="1"/>
    <xf numFmtId="11" fontId="13" fillId="0" borderId="3" xfId="0" applyNumberFormat="1" applyFont="1" applyBorder="1"/>
    <xf numFmtId="0" fontId="13" fillId="0" borderId="4" xfId="0" applyFont="1" applyBorder="1"/>
    <xf numFmtId="0" fontId="13" fillId="0" borderId="0" xfId="0" applyFont="1"/>
    <xf numFmtId="0" fontId="13" fillId="0" borderId="6" xfId="0" applyFont="1" applyBorder="1"/>
    <xf numFmtId="0" fontId="8" fillId="0" borderId="5" xfId="0" applyFont="1" applyBorder="1" applyAlignment="1">
      <alignment vertical="center"/>
    </xf>
    <xf numFmtId="0" fontId="13" fillId="0" borderId="5" xfId="0" applyFont="1" applyBorder="1" applyAlignment="1">
      <alignment vertical="center" wrapText="1"/>
    </xf>
    <xf numFmtId="11" fontId="13" fillId="0" borderId="0" xfId="0" applyNumberFormat="1" applyFont="1"/>
    <xf numFmtId="164" fontId="8" fillId="0" borderId="0" xfId="0" applyNumberFormat="1" applyFont="1"/>
    <xf numFmtId="2" fontId="8" fillId="0" borderId="0" xfId="0" applyNumberFormat="1" applyFont="1"/>
    <xf numFmtId="0" fontId="8" fillId="0" borderId="1" xfId="0" applyFont="1" applyBorder="1" applyAlignment="1">
      <alignment vertical="center"/>
    </xf>
    <xf numFmtId="0" fontId="9" fillId="0" borderId="1" xfId="0" applyFont="1" applyBorder="1" applyAlignment="1">
      <alignment horizontal="center"/>
    </xf>
    <xf numFmtId="164" fontId="27" fillId="0" borderId="0" xfId="0" applyNumberFormat="1" applyFont="1"/>
    <xf numFmtId="164" fontId="0" fillId="14" borderId="110" xfId="0" applyNumberFormat="1" applyFill="1" applyBorder="1" applyAlignment="1">
      <alignment horizontal="center" vertical="center"/>
    </xf>
    <xf numFmtId="164" fontId="0" fillId="30" borderId="110" xfId="0" applyNumberFormat="1" applyFill="1" applyBorder="1" applyAlignment="1">
      <alignment horizontal="center" vertical="center"/>
    </xf>
    <xf numFmtId="0" fontId="1" fillId="0" borderId="0" xfId="0" applyFont="1"/>
    <xf numFmtId="164" fontId="28" fillId="0" borderId="0" xfId="0" applyNumberFormat="1" applyFont="1"/>
    <xf numFmtId="2" fontId="27" fillId="0" borderId="3" xfId="0" applyNumberFormat="1" applyFont="1" applyBorder="1"/>
    <xf numFmtId="2" fontId="27" fillId="0" borderId="8" xfId="0" applyNumberFormat="1" applyFont="1" applyBorder="1"/>
    <xf numFmtId="2" fontId="26" fillId="0" borderId="3" xfId="0" applyNumberFormat="1" applyFont="1" applyBorder="1"/>
    <xf numFmtId="2" fontId="26" fillId="0" borderId="8" xfId="0" applyNumberFormat="1" applyFont="1" applyBorder="1"/>
    <xf numFmtId="164" fontId="0" fillId="30" borderId="111" xfId="0" applyNumberFormat="1" applyFill="1" applyBorder="1" applyAlignment="1">
      <alignment horizontal="center" vertical="center"/>
    </xf>
    <xf numFmtId="164" fontId="13" fillId="0" borderId="3" xfId="0" applyNumberFormat="1" applyFont="1" applyBorder="1"/>
    <xf numFmtId="164" fontId="13" fillId="0" borderId="0" xfId="0" applyNumberFormat="1" applyFont="1"/>
    <xf numFmtId="164" fontId="13" fillId="0" borderId="8" xfId="0" applyNumberFormat="1" applyFont="1" applyBorder="1"/>
    <xf numFmtId="164" fontId="0" fillId="0" borderId="3" xfId="0" applyNumberFormat="1" applyBorder="1"/>
    <xf numFmtId="164" fontId="0" fillId="0" borderId="8" xfId="0" applyNumberFormat="1" applyBorder="1"/>
    <xf numFmtId="0" fontId="0" fillId="19" borderId="3" xfId="0" applyFill="1" applyBorder="1"/>
    <xf numFmtId="0" fontId="5" fillId="19" borderId="3" xfId="0" applyFont="1" applyFill="1" applyBorder="1"/>
    <xf numFmtId="0" fontId="0" fillId="13" borderId="0" xfId="0" applyFill="1"/>
    <xf numFmtId="2" fontId="27" fillId="13" borderId="0" xfId="0" applyNumberFormat="1" applyFont="1" applyFill="1"/>
    <xf numFmtId="0" fontId="0" fillId="13" borderId="6" xfId="0" applyFill="1" applyBorder="1"/>
    <xf numFmtId="0" fontId="5" fillId="13" borderId="0" xfId="0" applyFont="1" applyFill="1"/>
    <xf numFmtId="2" fontId="26" fillId="13" borderId="0" xfId="0" applyNumberFormat="1" applyFont="1" applyFill="1"/>
    <xf numFmtId="0" fontId="0" fillId="19" borderId="0" xfId="0" applyFill="1" applyAlignment="1">
      <alignment vertical="center"/>
    </xf>
    <xf numFmtId="0" fontId="0" fillId="13" borderId="0" xfId="0" applyFill="1" applyAlignment="1">
      <alignment vertical="center"/>
    </xf>
    <xf numFmtId="164" fontId="0" fillId="13" borderId="0" xfId="0" applyNumberFormat="1" applyFill="1" applyAlignment="1">
      <alignment vertical="center"/>
    </xf>
    <xf numFmtId="0" fontId="0" fillId="13" borderId="29" xfId="0" applyFill="1" applyBorder="1" applyAlignment="1">
      <alignment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28" borderId="10" xfId="0" applyFont="1" applyFill="1" applyBorder="1" applyAlignment="1">
      <alignment horizontal="center" vertical="center"/>
    </xf>
    <xf numFmtId="0" fontId="2" fillId="28" borderId="11" xfId="0" applyFont="1" applyFill="1" applyBorder="1" applyAlignment="1">
      <alignment horizontal="center" vertical="center"/>
    </xf>
    <xf numFmtId="0" fontId="2" fillId="28" borderId="12" xfId="0" applyFont="1" applyFill="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0" fillId="0" borderId="13" xfId="0" applyBorder="1" applyAlignment="1">
      <alignment horizontal="center" vertical="center" wrapText="1"/>
    </xf>
    <xf numFmtId="0" fontId="1" fillId="8" borderId="17" xfId="0" applyFont="1" applyFill="1" applyBorder="1" applyAlignment="1">
      <alignment horizontal="center" vertical="center"/>
    </xf>
    <xf numFmtId="0" fontId="1" fillId="8" borderId="20" xfId="0" applyFont="1" applyFill="1" applyBorder="1" applyAlignment="1">
      <alignment horizontal="center" vertical="center"/>
    </xf>
    <xf numFmtId="0" fontId="1" fillId="29" borderId="18" xfId="0" applyFont="1" applyFill="1" applyBorder="1" applyAlignment="1">
      <alignment horizontal="center" vertical="center"/>
    </xf>
    <xf numFmtId="0" fontId="1" fillId="29" borderId="20" xfId="0" applyFont="1" applyFill="1" applyBorder="1" applyAlignment="1">
      <alignment horizontal="center" vertical="center"/>
    </xf>
    <xf numFmtId="0" fontId="2" fillId="28" borderId="59" xfId="0" applyFont="1" applyFill="1" applyBorder="1" applyAlignment="1">
      <alignment horizontal="center" vertical="center"/>
    </xf>
    <xf numFmtId="0" fontId="2" fillId="28" borderId="18" xfId="0" applyFont="1" applyFill="1" applyBorder="1" applyAlignment="1">
      <alignment horizontal="center" vertical="center"/>
    </xf>
    <xf numFmtId="0" fontId="2" fillId="28" borderId="20" xfId="0" applyFont="1" applyFill="1" applyBorder="1" applyAlignment="1">
      <alignment horizontal="center" vertical="center"/>
    </xf>
    <xf numFmtId="0" fontId="2" fillId="28" borderId="17" xfId="0" applyFont="1" applyFill="1" applyBorder="1" applyAlignment="1">
      <alignment horizontal="center" vertical="center"/>
    </xf>
    <xf numFmtId="0" fontId="1" fillId="29" borderId="17" xfId="0" applyFont="1" applyFill="1" applyBorder="1" applyAlignment="1">
      <alignment horizontal="center" vertical="center"/>
    </xf>
    <xf numFmtId="0" fontId="0" fillId="0" borderId="105" xfId="0" applyBorder="1" applyAlignment="1">
      <alignment horizontal="center" vertical="center" wrapText="1"/>
    </xf>
    <xf numFmtId="0" fontId="0" fillId="0" borderId="105" xfId="0" applyBorder="1" applyAlignment="1">
      <alignment horizontal="center" vertical="center"/>
    </xf>
    <xf numFmtId="0" fontId="0" fillId="0" borderId="106" xfId="0" applyBorder="1" applyAlignment="1">
      <alignment horizontal="center" vertical="center"/>
    </xf>
    <xf numFmtId="0" fontId="0" fillId="0" borderId="106" xfId="0" applyBorder="1" applyAlignment="1">
      <alignment horizontal="center" vertical="center" wrapText="1"/>
    </xf>
    <xf numFmtId="0" fontId="0" fillId="0" borderId="88" xfId="0" applyBorder="1" applyAlignment="1">
      <alignment horizontal="center" vertical="center" wrapText="1"/>
    </xf>
    <xf numFmtId="0" fontId="18" fillId="25" borderId="87" xfId="0" applyFont="1" applyFill="1" applyBorder="1" applyAlignment="1">
      <alignment horizontal="center" vertical="center" wrapText="1"/>
    </xf>
    <xf numFmtId="0" fontId="18" fillId="25" borderId="20" xfId="0" applyFont="1" applyFill="1" applyBorder="1" applyAlignment="1">
      <alignment horizontal="center" vertical="center" wrapText="1"/>
    </xf>
    <xf numFmtId="0" fontId="19" fillId="24" borderId="59" xfId="0" applyFont="1" applyFill="1" applyBorder="1" applyAlignment="1">
      <alignment horizontal="center" vertical="center" wrapText="1"/>
    </xf>
    <xf numFmtId="0" fontId="19" fillId="24" borderId="27" xfId="0" applyFont="1" applyFill="1" applyBorder="1" applyAlignment="1">
      <alignment horizontal="center" vertical="center" wrapText="1"/>
    </xf>
    <xf numFmtId="0" fontId="0" fillId="0" borderId="10" xfId="0" applyBorder="1" applyAlignment="1">
      <alignment horizontal="left" vertical="center" wrapText="1" shrinkToFit="1"/>
    </xf>
    <xf numFmtId="0" fontId="0" fillId="0" borderId="12" xfId="0" applyBorder="1" applyAlignment="1">
      <alignment horizontal="left" vertical="center" wrapText="1" shrinkToFit="1"/>
    </xf>
    <xf numFmtId="0" fontId="0" fillId="0" borderId="10" xfId="0" applyBorder="1" applyAlignment="1">
      <alignment horizontal="center" vertical="center" wrapText="1" shrinkToFit="1"/>
    </xf>
    <xf numFmtId="0" fontId="0" fillId="0" borderId="12" xfId="0" applyBorder="1" applyAlignment="1">
      <alignment horizontal="center" vertical="center" wrapText="1" shrinkToFit="1"/>
    </xf>
    <xf numFmtId="0" fontId="1" fillId="14" borderId="13" xfId="0" applyFont="1" applyFill="1" applyBorder="1" applyAlignment="1">
      <alignment horizontal="center" vertical="center"/>
    </xf>
    <xf numFmtId="0" fontId="1" fillId="14" borderId="14" xfId="0" applyFont="1" applyFill="1" applyBorder="1" applyAlignment="1">
      <alignment horizontal="center" vertical="center"/>
    </xf>
    <xf numFmtId="0" fontId="1" fillId="14" borderId="15"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 fillId="15" borderId="13" xfId="0" applyFont="1" applyFill="1" applyBorder="1" applyAlignment="1">
      <alignment horizontal="center" vertical="center"/>
    </xf>
    <xf numFmtId="0" fontId="1" fillId="15" borderId="14" xfId="0" applyFont="1" applyFill="1" applyBorder="1" applyAlignment="1">
      <alignment horizontal="center" vertical="center"/>
    </xf>
    <xf numFmtId="0" fontId="1" fillId="15" borderId="15" xfId="0" applyFont="1" applyFill="1" applyBorder="1" applyAlignment="1">
      <alignment horizontal="center" vertical="center"/>
    </xf>
    <xf numFmtId="0" fontId="1" fillId="16" borderId="13" xfId="0" applyFont="1" applyFill="1" applyBorder="1" applyAlignment="1">
      <alignment horizontal="center" vertical="center" wrapText="1"/>
    </xf>
    <xf numFmtId="0" fontId="1" fillId="16" borderId="15"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13" borderId="13" xfId="0" applyFont="1" applyFill="1" applyBorder="1" applyAlignment="1">
      <alignment horizontal="center" vertical="center" wrapText="1"/>
    </xf>
    <xf numFmtId="0" fontId="1" fillId="13" borderId="15"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7" fillId="12" borderId="10" xfId="0" applyFont="1" applyFill="1" applyBorder="1" applyAlignment="1">
      <alignment horizontal="center" vertical="center"/>
    </xf>
    <xf numFmtId="0" fontId="17" fillId="12" borderId="11" xfId="0" applyFont="1" applyFill="1" applyBorder="1" applyAlignment="1">
      <alignment horizontal="center" vertical="center"/>
    </xf>
    <xf numFmtId="0" fontId="17" fillId="12" borderId="12" xfId="0" applyFont="1" applyFill="1" applyBorder="1" applyAlignment="1">
      <alignment horizontal="center" vertical="center"/>
    </xf>
    <xf numFmtId="0" fontId="1" fillId="0" borderId="4" xfId="0" applyFont="1" applyBorder="1" applyAlignment="1">
      <alignment horizontal="center" vertical="center"/>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0" fillId="0" borderId="5" xfId="0" applyBorder="1" applyAlignment="1">
      <alignment horizontal="left" vertical="center"/>
    </xf>
    <xf numFmtId="0" fontId="0" fillId="0" borderId="0" xfId="0" applyAlignment="1">
      <alignment horizontal="left"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12" borderId="10" xfId="0" applyFont="1" applyFill="1" applyBorder="1" applyAlignment="1">
      <alignment horizontal="center" vertical="center"/>
    </xf>
    <xf numFmtId="0" fontId="3" fillId="12" borderId="11" xfId="0" applyFont="1" applyFill="1" applyBorder="1" applyAlignment="1">
      <alignment horizontal="center" vertical="center"/>
    </xf>
    <xf numFmtId="0" fontId="3" fillId="12" borderId="12" xfId="0" applyFont="1" applyFill="1" applyBorder="1" applyAlignment="1">
      <alignment horizontal="center" vertical="center"/>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2" fillId="12" borderId="10" xfId="0" applyFont="1" applyFill="1" applyBorder="1" applyAlignment="1">
      <alignment horizontal="center" vertical="center"/>
    </xf>
    <xf numFmtId="0" fontId="2" fillId="12" borderId="11" xfId="0" applyFont="1" applyFill="1" applyBorder="1" applyAlignment="1">
      <alignment horizontal="center" vertical="center"/>
    </xf>
    <xf numFmtId="0" fontId="2" fillId="12" borderId="12" xfId="0" applyFont="1" applyFill="1" applyBorder="1" applyAlignment="1">
      <alignment horizontal="center" vertical="center"/>
    </xf>
    <xf numFmtId="0" fontId="1" fillId="16" borderId="13" xfId="0" applyFont="1" applyFill="1" applyBorder="1" applyAlignment="1">
      <alignment horizontal="center" vertical="center"/>
    </xf>
    <xf numFmtId="0" fontId="1" fillId="16" borderId="14" xfId="0" applyFont="1" applyFill="1" applyBorder="1" applyAlignment="1">
      <alignment horizontal="center" vertical="center"/>
    </xf>
    <xf numFmtId="0" fontId="1" fillId="16" borderId="15" xfId="0" applyFont="1" applyFill="1" applyBorder="1" applyAlignment="1">
      <alignment horizontal="center" vertical="center"/>
    </xf>
    <xf numFmtId="0" fontId="1" fillId="17" borderId="13" xfId="0" applyFont="1" applyFill="1" applyBorder="1" applyAlignment="1">
      <alignment horizontal="center" vertical="center"/>
    </xf>
    <xf numFmtId="0" fontId="1" fillId="17" borderId="14" xfId="0" applyFont="1" applyFill="1" applyBorder="1" applyAlignment="1">
      <alignment horizontal="center" vertical="center"/>
    </xf>
    <xf numFmtId="0" fontId="1" fillId="17" borderId="15" xfId="0" applyFont="1" applyFill="1" applyBorder="1" applyAlignment="1">
      <alignment horizontal="center" vertical="center"/>
    </xf>
    <xf numFmtId="0" fontId="6" fillId="0" borderId="15"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4" xfId="0" applyFont="1" applyBorder="1" applyAlignment="1">
      <alignment horizontal="center" vertical="center"/>
    </xf>
    <xf numFmtId="0" fontId="1" fillId="13" borderId="13" xfId="0" applyFont="1" applyFill="1" applyBorder="1" applyAlignment="1">
      <alignment horizontal="center" vertical="center"/>
    </xf>
    <xf numFmtId="0" fontId="1" fillId="13" borderId="14" xfId="0" applyFont="1" applyFill="1" applyBorder="1" applyAlignment="1">
      <alignment horizontal="center" vertical="center"/>
    </xf>
    <xf numFmtId="0" fontId="1" fillId="13" borderId="15" xfId="0" applyFont="1" applyFill="1" applyBorder="1" applyAlignment="1">
      <alignment horizontal="center" vertical="center"/>
    </xf>
    <xf numFmtId="0" fontId="6" fillId="0" borderId="7" xfId="0" applyFont="1" applyBorder="1" applyAlignment="1">
      <alignment horizontal="center" vertical="center"/>
    </xf>
    <xf numFmtId="0" fontId="10" fillId="0" borderId="5" xfId="0" applyFont="1" applyBorder="1" applyAlignment="1">
      <alignment horizontal="left" vertical="center"/>
    </xf>
    <xf numFmtId="0" fontId="10" fillId="0" borderId="0" xfId="0" applyFont="1" applyAlignment="1">
      <alignment horizontal="left" vertical="center"/>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1" fillId="18" borderId="2" xfId="0" applyFont="1" applyFill="1" applyBorder="1" applyAlignment="1">
      <alignment horizontal="center" vertical="center"/>
    </xf>
    <xf numFmtId="0" fontId="1" fillId="18" borderId="3" xfId="0" applyFont="1" applyFill="1" applyBorder="1" applyAlignment="1">
      <alignment horizontal="center" vertical="center"/>
    </xf>
    <xf numFmtId="0" fontId="1" fillId="18" borderId="4" xfId="0" applyFont="1" applyFill="1" applyBorder="1" applyAlignment="1">
      <alignment horizontal="center" vertical="center"/>
    </xf>
    <xf numFmtId="0" fontId="1" fillId="0" borderId="82" xfId="0" applyFont="1" applyBorder="1" applyAlignment="1">
      <alignment horizontal="center" vertical="center"/>
    </xf>
    <xf numFmtId="0" fontId="1" fillId="0" borderId="22" xfId="0" applyFont="1" applyBorder="1" applyAlignment="1">
      <alignment horizontal="center" vertical="center"/>
    </xf>
    <xf numFmtId="0" fontId="1" fillId="0" borderId="65" xfId="0" applyFont="1" applyBorder="1" applyAlignment="1">
      <alignment horizontal="center" vertical="center"/>
    </xf>
    <xf numFmtId="0" fontId="1" fillId="0" borderId="81" xfId="0" applyFont="1" applyBorder="1" applyAlignment="1">
      <alignment horizontal="center" vertical="center"/>
    </xf>
    <xf numFmtId="0" fontId="1" fillId="18" borderId="17" xfId="0" applyFont="1" applyFill="1" applyBorder="1" applyAlignment="1">
      <alignment horizontal="center" vertical="center"/>
    </xf>
    <xf numFmtId="0" fontId="1" fillId="18" borderId="18" xfId="0" applyFont="1" applyFill="1" applyBorder="1" applyAlignment="1">
      <alignment horizontal="center" vertical="center"/>
    </xf>
    <xf numFmtId="0" fontId="1" fillId="18" borderId="20" xfId="0" applyFont="1" applyFill="1"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19" xfId="0" applyFont="1" applyBorder="1" applyAlignment="1">
      <alignment horizontal="center" vertical="center"/>
    </xf>
    <xf numFmtId="0" fontId="1" fillId="0" borderId="64" xfId="0" applyFont="1" applyBorder="1" applyAlignment="1">
      <alignment horizontal="center" vertical="center"/>
    </xf>
    <xf numFmtId="0" fontId="1" fillId="4" borderId="97" xfId="0" applyFont="1" applyFill="1" applyBorder="1" applyAlignment="1">
      <alignment horizontal="center" vertical="center"/>
    </xf>
    <xf numFmtId="0" fontId="1" fillId="4" borderId="7" xfId="0" applyFont="1" applyFill="1" applyBorder="1" applyAlignment="1">
      <alignment horizontal="center" vertical="center"/>
    </xf>
    <xf numFmtId="0" fontId="1" fillId="5" borderId="103" xfId="0" applyFont="1" applyFill="1" applyBorder="1" applyAlignment="1">
      <alignment horizontal="center" vertical="center"/>
    </xf>
    <xf numFmtId="0" fontId="1" fillId="5" borderId="100" xfId="0" applyFont="1" applyFill="1" applyBorder="1" applyAlignment="1">
      <alignment horizontal="center" vertical="center"/>
    </xf>
    <xf numFmtId="0" fontId="10" fillId="15" borderId="18" xfId="0" applyFont="1" applyFill="1" applyBorder="1" applyAlignment="1">
      <alignment horizontal="center" vertical="center"/>
    </xf>
    <xf numFmtId="0" fontId="10" fillId="15" borderId="20" xfId="0" applyFont="1" applyFill="1" applyBorder="1" applyAlignment="1">
      <alignment horizontal="center" vertical="center"/>
    </xf>
    <xf numFmtId="0" fontId="10" fillId="16" borderId="17" xfId="0" applyFont="1" applyFill="1" applyBorder="1" applyAlignment="1">
      <alignment horizontal="center" vertical="center"/>
    </xf>
    <xf numFmtId="0" fontId="10" fillId="16" borderId="20" xfId="0" applyFont="1" applyFill="1" applyBorder="1" applyAlignment="1">
      <alignment horizontal="center" vertical="center"/>
    </xf>
    <xf numFmtId="0" fontId="3" fillId="18" borderId="17" xfId="0" applyFont="1" applyFill="1" applyBorder="1" applyAlignment="1">
      <alignment horizontal="center" vertical="center"/>
    </xf>
    <xf numFmtId="0" fontId="3" fillId="18" borderId="18" xfId="0" applyFont="1" applyFill="1" applyBorder="1" applyAlignment="1">
      <alignment horizontal="center" vertical="center"/>
    </xf>
    <xf numFmtId="0" fontId="3" fillId="18" borderId="20" xfId="0" applyFont="1" applyFill="1" applyBorder="1" applyAlignment="1">
      <alignment horizontal="center" vertical="center"/>
    </xf>
    <xf numFmtId="0" fontId="0" fillId="0" borderId="63"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31" xfId="0" applyBorder="1" applyAlignment="1">
      <alignment horizontal="center" vertical="center" wrapText="1"/>
    </xf>
    <xf numFmtId="0" fontId="8" fillId="0" borderId="17" xfId="0" applyFont="1" applyBorder="1" applyAlignment="1">
      <alignment horizontal="center" vertical="center"/>
    </xf>
    <xf numFmtId="0" fontId="8" fillId="0" borderId="20" xfId="0" applyFont="1" applyBorder="1" applyAlignment="1">
      <alignment horizontal="center" vertical="center"/>
    </xf>
    <xf numFmtId="0" fontId="1" fillId="18" borderId="80"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84" xfId="0" applyFont="1" applyFill="1" applyBorder="1" applyAlignment="1">
      <alignment horizontal="center" vertical="center"/>
    </xf>
    <xf numFmtId="0" fontId="3" fillId="18" borderId="90" xfId="0" applyFont="1" applyFill="1" applyBorder="1" applyAlignment="1">
      <alignment horizontal="center" vertical="center"/>
    </xf>
    <xf numFmtId="0" fontId="3" fillId="18" borderId="91" xfId="0" applyFont="1" applyFill="1" applyBorder="1" applyAlignment="1">
      <alignment horizontal="center" vertical="center"/>
    </xf>
    <xf numFmtId="0" fontId="3" fillId="18" borderId="92" xfId="0" applyFont="1" applyFill="1" applyBorder="1" applyAlignment="1">
      <alignment horizontal="center" vertical="center"/>
    </xf>
    <xf numFmtId="0" fontId="1" fillId="2" borderId="80"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0" xfId="0" applyFont="1" applyFill="1" applyBorder="1" applyAlignment="1">
      <alignment horizontal="center" vertical="center"/>
    </xf>
    <xf numFmtId="0" fontId="1" fillId="0" borderId="12" xfId="0" applyFont="1" applyBorder="1" applyAlignment="1">
      <alignment horizontal="center" vertical="center"/>
    </xf>
    <xf numFmtId="0" fontId="1" fillId="18" borderId="61"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11" xfId="0" applyFont="1" applyFill="1" applyBorder="1" applyAlignment="1">
      <alignment horizontal="center" vertical="center"/>
    </xf>
    <xf numFmtId="0" fontId="3" fillId="7" borderId="12" xfId="0" applyFont="1" applyFill="1" applyBorder="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xf numFmtId="0" fontId="6" fillId="0" borderId="5" xfId="0" applyFont="1" applyBorder="1" applyAlignment="1">
      <alignment horizontal="left"/>
    </xf>
    <xf numFmtId="0" fontId="6" fillId="0" borderId="6" xfId="0" applyFont="1" applyBorder="1" applyAlignment="1">
      <alignment horizontal="left"/>
    </xf>
    <xf numFmtId="0" fontId="6" fillId="0" borderId="7" xfId="0" applyFont="1" applyBorder="1" applyAlignment="1">
      <alignment horizontal="left"/>
    </xf>
    <xf numFmtId="0" fontId="6" fillId="0" borderId="9" xfId="0" applyFont="1" applyBorder="1" applyAlignment="1">
      <alignment horizontal="left"/>
    </xf>
    <xf numFmtId="0" fontId="8" fillId="0" borderId="40" xfId="0" applyFont="1" applyBorder="1" applyAlignment="1">
      <alignment horizontal="center"/>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6" fillId="0" borderId="2" xfId="0" applyFont="1" applyBorder="1" applyAlignment="1">
      <alignment horizontal="left"/>
    </xf>
    <xf numFmtId="0" fontId="6" fillId="0" borderId="4" xfId="0" applyFont="1" applyBorder="1" applyAlignment="1">
      <alignment horizontal="left"/>
    </xf>
    <xf numFmtId="0" fontId="6" fillId="0" borderId="10" xfId="0" applyFont="1" applyBorder="1" applyAlignment="1">
      <alignment horizontal="left"/>
    </xf>
    <xf numFmtId="0" fontId="6" fillId="0" borderId="12" xfId="0" applyFont="1" applyBorder="1" applyAlignment="1">
      <alignment horizontal="left"/>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6"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1" fillId="8" borderId="65" xfId="0" applyFont="1" applyFill="1" applyBorder="1" applyAlignment="1">
      <alignment horizontal="center" vertical="center"/>
    </xf>
    <xf numFmtId="0" fontId="1" fillId="8" borderId="81" xfId="0" applyFont="1" applyFill="1" applyBorder="1" applyAlignment="1">
      <alignment horizontal="center" vertical="center"/>
    </xf>
    <xf numFmtId="0" fontId="1" fillId="9" borderId="19" xfId="0" applyFont="1" applyFill="1" applyBorder="1" applyAlignment="1">
      <alignment horizontal="center" vertical="center"/>
    </xf>
    <xf numFmtId="0" fontId="1" fillId="9" borderId="22" xfId="0" applyFont="1" applyFill="1" applyBorder="1" applyAlignment="1">
      <alignment horizontal="center" vertical="center"/>
    </xf>
    <xf numFmtId="0" fontId="2" fillId="10" borderId="10" xfId="0" applyFont="1" applyFill="1" applyBorder="1" applyAlignment="1">
      <alignment horizontal="center" vertical="center"/>
    </xf>
    <xf numFmtId="0" fontId="2" fillId="10" borderId="11" xfId="0" applyFont="1" applyFill="1" applyBorder="1" applyAlignment="1">
      <alignment horizontal="center" vertical="center"/>
    </xf>
    <xf numFmtId="0" fontId="2" fillId="10" borderId="12" xfId="0" applyFont="1" applyFill="1" applyBorder="1" applyAlignment="1">
      <alignment horizontal="center" vertical="center"/>
    </xf>
    <xf numFmtId="0" fontId="0" fillId="0" borderId="23" xfId="0" applyBorder="1" applyAlignment="1">
      <alignment horizontal="center" vertical="center" wrapText="1"/>
    </xf>
    <xf numFmtId="0" fontId="0" fillId="0" borderId="28" xfId="0" applyBorder="1" applyAlignment="1">
      <alignment horizontal="center" vertical="center"/>
    </xf>
    <xf numFmtId="0" fontId="3" fillId="10" borderId="2" xfId="0" applyFont="1" applyFill="1" applyBorder="1" applyAlignment="1">
      <alignment horizontal="center" vertical="center"/>
    </xf>
    <xf numFmtId="0" fontId="3" fillId="10" borderId="3" xfId="0" applyFont="1" applyFill="1" applyBorder="1" applyAlignment="1">
      <alignment horizontal="center" vertical="center"/>
    </xf>
    <xf numFmtId="0" fontId="3" fillId="10" borderId="4"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17" borderId="26" xfId="0" applyFill="1" applyBorder="1" applyAlignment="1">
      <alignment horizontal="center" vertical="center"/>
    </xf>
    <xf numFmtId="0" fontId="0" fillId="17" borderId="34" xfId="0" applyFill="1" applyBorder="1" applyAlignment="1">
      <alignment horizontal="center" vertical="center"/>
    </xf>
    <xf numFmtId="0" fontId="0" fillId="17" borderId="32" xfId="0" applyFill="1" applyBorder="1" applyAlignment="1">
      <alignment horizontal="center" vertical="center"/>
    </xf>
    <xf numFmtId="0" fontId="0" fillId="17" borderId="36"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17" borderId="33" xfId="0" applyFill="1" applyBorder="1" applyAlignment="1">
      <alignment horizontal="center" vertical="center"/>
    </xf>
    <xf numFmtId="0" fontId="0" fillId="17" borderId="35" xfId="0" applyFill="1" applyBorder="1" applyAlignment="1">
      <alignment horizontal="center" vertical="center"/>
    </xf>
    <xf numFmtId="0" fontId="3" fillId="10" borderId="17"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0" xfId="0" applyFont="1" applyFill="1" applyBorder="1" applyAlignment="1">
      <alignment horizontal="center" vertical="center"/>
    </xf>
    <xf numFmtId="0" fontId="1" fillId="8" borderId="21" xfId="0" applyFont="1" applyFill="1" applyBorder="1" applyAlignment="1">
      <alignment horizontal="center" vertical="center"/>
    </xf>
    <xf numFmtId="0" fontId="1" fillId="8" borderId="8" xfId="0" applyFont="1" applyFill="1" applyBorder="1" applyAlignment="1">
      <alignment horizontal="center" vertical="center"/>
    </xf>
    <xf numFmtId="0" fontId="6" fillId="0" borderId="5" xfId="0" applyFont="1" applyBorder="1" applyAlignment="1">
      <alignment horizontal="left" vertical="center"/>
    </xf>
    <xf numFmtId="0" fontId="6" fillId="0" borderId="0" xfId="0" applyFont="1" applyAlignment="1">
      <alignment horizontal="left" vertical="center"/>
    </xf>
    <xf numFmtId="0" fontId="6" fillId="0" borderId="6" xfId="0" applyFont="1" applyBorder="1" applyAlignment="1">
      <alignment horizontal="left" vertical="center"/>
    </xf>
    <xf numFmtId="0" fontId="3" fillId="10" borderId="10" xfId="0" applyFont="1" applyFill="1" applyBorder="1" applyAlignment="1">
      <alignment horizontal="center" vertical="center"/>
    </xf>
    <xf numFmtId="0" fontId="3" fillId="10" borderId="11" xfId="0" applyFont="1" applyFill="1" applyBorder="1" applyAlignment="1">
      <alignment horizontal="center" vertical="center"/>
    </xf>
    <xf numFmtId="0" fontId="3" fillId="10" borderId="12" xfId="0" applyFont="1" applyFill="1" applyBorder="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3" fillId="8" borderId="10"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2"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2" fillId="21" borderId="10" xfId="0" applyFont="1" applyFill="1" applyBorder="1" applyAlignment="1">
      <alignment horizontal="center" vertical="center"/>
    </xf>
    <xf numFmtId="0" fontId="2" fillId="21" borderId="11" xfId="0" applyFont="1" applyFill="1" applyBorder="1" applyAlignment="1">
      <alignment horizontal="center" vertical="center"/>
    </xf>
    <xf numFmtId="0" fontId="2" fillId="21" borderId="12"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2" fillId="26" borderId="10" xfId="0" applyFont="1" applyFill="1" applyBorder="1" applyAlignment="1">
      <alignment horizontal="center" vertical="center" wrapText="1"/>
    </xf>
    <xf numFmtId="0" fontId="2" fillId="26" borderId="11" xfId="0" applyFont="1" applyFill="1" applyBorder="1" applyAlignment="1">
      <alignment horizontal="center" vertical="center" wrapText="1"/>
    </xf>
    <xf numFmtId="0" fontId="2" fillId="26" borderId="12" xfId="0" applyFont="1" applyFill="1" applyBorder="1" applyAlignment="1">
      <alignment horizontal="center" vertical="center" wrapText="1"/>
    </xf>
    <xf numFmtId="0" fontId="2" fillId="20" borderId="10" xfId="0" applyFont="1" applyFill="1" applyBorder="1" applyAlignment="1">
      <alignment horizontal="center" vertical="center"/>
    </xf>
    <xf numFmtId="0" fontId="2" fillId="20" borderId="11" xfId="0" applyFont="1" applyFill="1" applyBorder="1" applyAlignment="1">
      <alignment horizontal="center" vertical="center"/>
    </xf>
    <xf numFmtId="0" fontId="2" fillId="20" borderId="12" xfId="0" applyFont="1" applyFill="1" applyBorder="1" applyAlignment="1">
      <alignment horizontal="center" vertical="center"/>
    </xf>
    <xf numFmtId="164" fontId="1" fillId="0" borderId="11" xfId="0" applyNumberFormat="1" applyFont="1" applyBorder="1" applyAlignment="1">
      <alignment horizontal="center" vertical="center"/>
    </xf>
    <xf numFmtId="164" fontId="1" fillId="0" borderId="3" xfId="0" applyNumberFormat="1" applyFont="1" applyBorder="1" applyAlignment="1">
      <alignment horizontal="center" vertical="center"/>
    </xf>
    <xf numFmtId="164" fontId="1" fillId="0" borderId="8" xfId="0" applyNumberFormat="1" applyFont="1" applyBorder="1" applyAlignment="1">
      <alignment horizontal="center" vertical="center"/>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164" fontId="1" fillId="0" borderId="9" xfId="0" applyNumberFormat="1" applyFont="1" applyBorder="1" applyAlignment="1">
      <alignment horizontal="center" vertical="center"/>
    </xf>
    <xf numFmtId="0" fontId="3" fillId="11" borderId="10" xfId="0" applyFont="1" applyFill="1" applyBorder="1" applyAlignment="1">
      <alignment horizontal="center" vertical="center"/>
    </xf>
    <xf numFmtId="0" fontId="3" fillId="11" borderId="11" xfId="0" applyFont="1" applyFill="1" applyBorder="1" applyAlignment="1">
      <alignment horizontal="center" vertical="center"/>
    </xf>
    <xf numFmtId="0" fontId="3" fillId="11" borderId="12" xfId="0" applyFont="1" applyFill="1" applyBorder="1" applyAlignment="1">
      <alignment horizontal="center" vertical="center"/>
    </xf>
    <xf numFmtId="164" fontId="1" fillId="0" borderId="0" xfId="0" applyNumberFormat="1" applyFont="1" applyAlignment="1">
      <alignment horizontal="center" vertical="center"/>
    </xf>
    <xf numFmtId="164" fontId="1" fillId="0" borderId="6" xfId="0" applyNumberFormat="1" applyFont="1" applyBorder="1" applyAlignment="1">
      <alignment horizontal="center" vertical="center"/>
    </xf>
    <xf numFmtId="0" fontId="1" fillId="11" borderId="10" xfId="0" applyFont="1" applyFill="1" applyBorder="1" applyAlignment="1">
      <alignment horizontal="center" vertical="center"/>
    </xf>
    <xf numFmtId="0" fontId="1" fillId="11" borderId="11" xfId="0" applyFont="1" applyFill="1" applyBorder="1" applyAlignment="1">
      <alignment horizontal="center" vertical="center"/>
    </xf>
    <xf numFmtId="0" fontId="1" fillId="11" borderId="12" xfId="0" applyFont="1" applyFill="1" applyBorder="1" applyAlignment="1">
      <alignment horizontal="center" vertical="center"/>
    </xf>
    <xf numFmtId="0" fontId="13" fillId="0" borderId="12" xfId="0" applyFont="1" applyFill="1" applyBorder="1" applyAlignment="1">
      <alignment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0" fillId="0" borderId="0" xfId="0" applyBorder="1"/>
    <xf numFmtId="0" fontId="13" fillId="0" borderId="0" xfId="0" applyFont="1" applyBorder="1" applyAlignment="1">
      <alignment vertical="center"/>
    </xf>
    <xf numFmtId="0" fontId="29" fillId="31" borderId="10" xfId="0" applyFont="1" applyFill="1" applyBorder="1" applyAlignment="1">
      <alignment horizontal="center" vertical="center"/>
    </xf>
    <xf numFmtId="0" fontId="29" fillId="31" borderId="11" xfId="0" applyFont="1" applyFill="1" applyBorder="1" applyAlignment="1">
      <alignment horizontal="center" vertical="center"/>
    </xf>
    <xf numFmtId="0" fontId="29" fillId="31" borderId="12" xfId="0" applyFont="1" applyFill="1" applyBorder="1" applyAlignment="1">
      <alignment horizontal="center" vertical="center"/>
    </xf>
  </cellXfs>
  <cellStyles count="2">
    <cellStyle name="Normal" xfId="0" builtinId="0"/>
    <cellStyle name="Percent" xfId="1" builtinId="5"/>
  </cellStyles>
  <dxfs count="1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F9CC93"/>
      <color rgb="FF80A9E4"/>
      <color rgb="FFFFD666"/>
      <color rgb="FFE67C73"/>
      <color rgb="FF57BB8A"/>
      <color rgb="FFFDE5D7"/>
      <color rgb="FFF9CCAD"/>
      <color rgb="FFD4E2F3"/>
      <color rgb="FFFFCACB"/>
      <color rgb="FF215C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B7ED-EF7D-0F4F-B613-9D2E2C733A58}">
  <dimension ref="B2:N28"/>
  <sheetViews>
    <sheetView showGridLines="0" showRowColHeaders="0" tabSelected="1" zoomScale="82" zoomScaleNormal="82" workbookViewId="0"/>
  </sheetViews>
  <sheetFormatPr baseColWidth="10" defaultColWidth="10.83203125" defaultRowHeight="16" x14ac:dyDescent="0.2"/>
  <cols>
    <col min="1" max="3" width="2.6640625" style="193" customWidth="1"/>
    <col min="4" max="4" width="29.1640625" style="193" customWidth="1"/>
    <col min="5" max="5" width="48.1640625" style="193" customWidth="1"/>
    <col min="6" max="11" width="2.6640625" style="193" customWidth="1"/>
    <col min="12" max="12" width="197.5" style="193" customWidth="1"/>
    <col min="13" max="15" width="2.6640625" style="193" customWidth="1"/>
    <col min="16" max="16384" width="10.83203125" style="193"/>
  </cols>
  <sheetData>
    <row r="2" spans="2:14" x14ac:dyDescent="0.2">
      <c r="B2" s="203"/>
      <c r="C2" s="203"/>
      <c r="D2" s="203"/>
      <c r="E2" s="203"/>
      <c r="F2" s="203"/>
      <c r="G2" s="203"/>
      <c r="J2" s="203"/>
      <c r="K2" s="203"/>
      <c r="L2" s="203"/>
      <c r="M2" s="203"/>
      <c r="N2" s="203"/>
    </row>
    <row r="3" spans="2:14" x14ac:dyDescent="0.2">
      <c r="B3" s="203"/>
      <c r="C3" s="204"/>
      <c r="D3" s="204"/>
      <c r="E3" s="204"/>
      <c r="F3" s="204"/>
      <c r="G3" s="203"/>
      <c r="J3" s="203"/>
      <c r="K3" s="204"/>
      <c r="L3" s="204"/>
      <c r="M3" s="204"/>
      <c r="N3" s="203"/>
    </row>
    <row r="4" spans="2:14" ht="35" customHeight="1" x14ac:dyDescent="0.2">
      <c r="B4" s="203"/>
      <c r="C4" s="204"/>
      <c r="D4" s="412" t="s">
        <v>426</v>
      </c>
      <c r="E4" s="413"/>
      <c r="F4" s="204"/>
      <c r="G4" s="203"/>
      <c r="J4" s="203"/>
      <c r="K4" s="204"/>
      <c r="L4" s="219" t="s">
        <v>435</v>
      </c>
      <c r="M4" s="204"/>
      <c r="N4" s="203"/>
    </row>
    <row r="5" spans="2:14" x14ac:dyDescent="0.2">
      <c r="B5" s="203"/>
      <c r="C5" s="204"/>
      <c r="D5" s="205"/>
      <c r="E5" s="205"/>
      <c r="F5" s="204"/>
      <c r="G5" s="203"/>
      <c r="J5" s="203"/>
      <c r="K5" s="204"/>
      <c r="L5" s="205"/>
      <c r="M5" s="204"/>
      <c r="N5" s="203"/>
    </row>
    <row r="6" spans="2:14" ht="25" customHeight="1" x14ac:dyDescent="0.2">
      <c r="B6" s="203"/>
      <c r="C6" s="204"/>
      <c r="D6" s="414" t="s">
        <v>425</v>
      </c>
      <c r="E6" s="415"/>
      <c r="F6" s="204"/>
      <c r="G6" s="203"/>
      <c r="J6" s="203"/>
      <c r="K6" s="204"/>
      <c r="L6" s="215"/>
      <c r="M6" s="204"/>
      <c r="N6" s="203"/>
    </row>
    <row r="7" spans="2:14" ht="146" customHeight="1" x14ac:dyDescent="0.2">
      <c r="B7" s="203"/>
      <c r="C7" s="204"/>
      <c r="D7" s="416" t="s">
        <v>433</v>
      </c>
      <c r="E7" s="417"/>
      <c r="F7" s="204"/>
      <c r="G7" s="203"/>
      <c r="J7" s="203"/>
      <c r="K7" s="204"/>
      <c r="L7" s="216"/>
      <c r="M7" s="204"/>
      <c r="N7" s="203"/>
    </row>
    <row r="8" spans="2:14" x14ac:dyDescent="0.2">
      <c r="B8" s="203"/>
      <c r="C8" s="204"/>
      <c r="D8" s="418" t="s">
        <v>434</v>
      </c>
      <c r="E8" s="419"/>
      <c r="F8" s="204"/>
      <c r="G8" s="203"/>
      <c r="J8" s="203"/>
      <c r="K8" s="204"/>
      <c r="L8" s="217"/>
      <c r="M8" s="204"/>
      <c r="N8" s="203"/>
    </row>
    <row r="9" spans="2:14" x14ac:dyDescent="0.2">
      <c r="B9" s="203"/>
      <c r="C9" s="204"/>
      <c r="D9" s="206"/>
      <c r="E9" s="206"/>
      <c r="F9" s="204"/>
      <c r="G9" s="203"/>
      <c r="J9" s="203"/>
      <c r="K9" s="204"/>
      <c r="L9" s="204"/>
      <c r="M9" s="204"/>
      <c r="N9" s="203"/>
    </row>
    <row r="10" spans="2:14" ht="25" customHeight="1" x14ac:dyDescent="0.2">
      <c r="B10" s="203"/>
      <c r="C10" s="204"/>
      <c r="D10" s="211" t="s">
        <v>424</v>
      </c>
      <c r="E10" s="207" t="s">
        <v>425</v>
      </c>
      <c r="F10" s="204"/>
      <c r="G10" s="203"/>
      <c r="J10" s="203"/>
      <c r="K10" s="204"/>
      <c r="L10" s="215"/>
      <c r="M10" s="204"/>
      <c r="N10" s="203"/>
    </row>
    <row r="11" spans="2:14" s="208" customFormat="1" ht="85" x14ac:dyDescent="0.2">
      <c r="B11" s="209"/>
      <c r="C11" s="210"/>
      <c r="D11" s="212" t="s">
        <v>436</v>
      </c>
      <c r="E11" s="213" t="s">
        <v>501</v>
      </c>
      <c r="F11" s="210"/>
      <c r="G11" s="209"/>
      <c r="J11" s="209"/>
      <c r="K11" s="210"/>
      <c r="L11" s="218"/>
      <c r="M11" s="210"/>
      <c r="N11" s="209"/>
    </row>
    <row r="12" spans="2:14" ht="68" x14ac:dyDescent="0.2">
      <c r="B12" s="203"/>
      <c r="C12" s="204"/>
      <c r="D12" s="212" t="s">
        <v>427</v>
      </c>
      <c r="E12" s="213" t="s">
        <v>502</v>
      </c>
      <c r="F12" s="204"/>
      <c r="G12" s="203"/>
      <c r="J12" s="203"/>
      <c r="K12" s="204"/>
      <c r="L12" s="218"/>
      <c r="M12" s="204"/>
      <c r="N12" s="203"/>
    </row>
    <row r="13" spans="2:14" ht="34" x14ac:dyDescent="0.2">
      <c r="B13" s="203"/>
      <c r="C13" s="204"/>
      <c r="D13" s="212" t="s">
        <v>19</v>
      </c>
      <c r="E13" s="213" t="s">
        <v>500</v>
      </c>
      <c r="F13" s="204"/>
      <c r="G13" s="203"/>
      <c r="J13" s="203"/>
      <c r="K13" s="204"/>
      <c r="L13" s="218"/>
      <c r="M13" s="204"/>
      <c r="N13" s="203"/>
    </row>
    <row r="14" spans="2:14" ht="34" x14ac:dyDescent="0.2">
      <c r="B14" s="203"/>
      <c r="C14" s="204"/>
      <c r="D14" s="212" t="s">
        <v>428</v>
      </c>
      <c r="E14" s="213" t="s">
        <v>568</v>
      </c>
      <c r="F14" s="204"/>
      <c r="G14" s="203"/>
      <c r="J14" s="203"/>
      <c r="K14" s="204"/>
      <c r="L14" s="218"/>
      <c r="M14" s="204"/>
      <c r="N14" s="203"/>
    </row>
    <row r="15" spans="2:14" ht="34" x14ac:dyDescent="0.2">
      <c r="B15" s="203"/>
      <c r="C15" s="204"/>
      <c r="D15" s="212" t="s">
        <v>550</v>
      </c>
      <c r="E15" s="213" t="s">
        <v>567</v>
      </c>
      <c r="F15" s="204"/>
      <c r="G15" s="203"/>
      <c r="J15" s="203"/>
      <c r="K15" s="204"/>
      <c r="L15" s="218"/>
      <c r="M15" s="204"/>
      <c r="N15" s="203"/>
    </row>
    <row r="16" spans="2:14" ht="51" x14ac:dyDescent="0.2">
      <c r="B16" s="203"/>
      <c r="C16" s="204"/>
      <c r="D16" s="212" t="s">
        <v>65</v>
      </c>
      <c r="E16" s="213" t="s">
        <v>503</v>
      </c>
      <c r="F16" s="204"/>
      <c r="G16" s="203"/>
      <c r="J16" s="203"/>
      <c r="K16" s="204"/>
      <c r="L16" s="218"/>
      <c r="M16" s="204"/>
      <c r="N16" s="203"/>
    </row>
    <row r="17" spans="2:14" ht="51" x14ac:dyDescent="0.2">
      <c r="B17" s="203"/>
      <c r="C17" s="204"/>
      <c r="D17" s="212" t="s">
        <v>429</v>
      </c>
      <c r="E17" s="214" t="s">
        <v>437</v>
      </c>
      <c r="F17" s="204"/>
      <c r="G17" s="203"/>
      <c r="J17" s="203"/>
      <c r="K17" s="204"/>
      <c r="L17" s="218"/>
      <c r="M17" s="204"/>
      <c r="N17" s="203"/>
    </row>
    <row r="18" spans="2:14" ht="17" x14ac:dyDescent="0.2">
      <c r="B18" s="203"/>
      <c r="C18" s="204"/>
      <c r="D18" s="212" t="s">
        <v>334</v>
      </c>
      <c r="E18" s="214" t="s">
        <v>574</v>
      </c>
      <c r="F18" s="204"/>
      <c r="G18" s="203"/>
      <c r="J18" s="203"/>
      <c r="K18" s="204"/>
      <c r="L18" s="218"/>
      <c r="M18" s="204"/>
      <c r="N18" s="203"/>
    </row>
    <row r="19" spans="2:14" ht="34" x14ac:dyDescent="0.2">
      <c r="B19" s="203"/>
      <c r="C19" s="204"/>
      <c r="D19" s="212" t="s">
        <v>430</v>
      </c>
      <c r="E19" s="214" t="s">
        <v>439</v>
      </c>
      <c r="F19" s="204"/>
      <c r="G19" s="203"/>
      <c r="J19" s="203"/>
      <c r="K19" s="204"/>
      <c r="L19" s="218"/>
      <c r="M19" s="204"/>
      <c r="N19" s="203"/>
    </row>
    <row r="20" spans="2:14" ht="17" x14ac:dyDescent="0.2">
      <c r="B20" s="203"/>
      <c r="C20" s="204"/>
      <c r="D20" s="212" t="s">
        <v>551</v>
      </c>
      <c r="E20" s="214" t="s">
        <v>575</v>
      </c>
      <c r="F20" s="204"/>
      <c r="G20" s="203"/>
      <c r="J20" s="203"/>
      <c r="K20" s="204"/>
      <c r="L20" s="218"/>
      <c r="M20" s="204"/>
      <c r="N20" s="203"/>
    </row>
    <row r="21" spans="2:14" ht="17" x14ac:dyDescent="0.2">
      <c r="B21" s="203"/>
      <c r="C21" s="204"/>
      <c r="D21" s="212" t="s">
        <v>335</v>
      </c>
      <c r="E21" s="214" t="s">
        <v>438</v>
      </c>
      <c r="F21" s="204"/>
      <c r="G21" s="203"/>
      <c r="J21" s="203"/>
      <c r="K21" s="204"/>
      <c r="L21" s="218"/>
      <c r="M21" s="204"/>
      <c r="N21" s="203"/>
    </row>
    <row r="22" spans="2:14" ht="17" x14ac:dyDescent="0.2">
      <c r="B22" s="203"/>
      <c r="C22" s="204"/>
      <c r="D22" s="212" t="s">
        <v>431</v>
      </c>
      <c r="E22" s="214" t="s">
        <v>440</v>
      </c>
      <c r="F22" s="204"/>
      <c r="G22" s="203"/>
      <c r="J22" s="203"/>
      <c r="K22" s="204"/>
      <c r="L22" s="218"/>
      <c r="M22" s="204"/>
      <c r="N22" s="203"/>
    </row>
    <row r="23" spans="2:14" ht="17" x14ac:dyDescent="0.2">
      <c r="B23" s="203"/>
      <c r="C23" s="204"/>
      <c r="D23" s="212" t="s">
        <v>432</v>
      </c>
      <c r="E23" s="648" t="s">
        <v>599</v>
      </c>
      <c r="F23" s="204"/>
      <c r="G23" s="203"/>
      <c r="J23" s="203"/>
      <c r="K23" s="204"/>
      <c r="L23" s="218"/>
      <c r="M23" s="204"/>
      <c r="N23" s="203"/>
    </row>
    <row r="24" spans="2:14" x14ac:dyDescent="0.2">
      <c r="B24" s="203"/>
      <c r="C24" s="204"/>
      <c r="F24" s="204"/>
      <c r="G24" s="203"/>
      <c r="J24" s="203"/>
      <c r="K24" s="204"/>
      <c r="L24" s="218"/>
      <c r="M24" s="204"/>
      <c r="N24" s="203"/>
    </row>
    <row r="25" spans="2:14" x14ac:dyDescent="0.2">
      <c r="B25" s="203"/>
      <c r="C25" s="204"/>
      <c r="D25" s="204"/>
      <c r="E25" s="204"/>
      <c r="F25" s="204"/>
      <c r="G25" s="203"/>
      <c r="J25" s="203"/>
      <c r="K25" s="204"/>
      <c r="L25" s="204"/>
      <c r="M25" s="204"/>
      <c r="N25" s="203"/>
    </row>
    <row r="26" spans="2:14" x14ac:dyDescent="0.2">
      <c r="B26" s="203"/>
      <c r="C26" s="203"/>
      <c r="D26" s="203"/>
      <c r="E26" s="203"/>
      <c r="F26" s="203"/>
      <c r="G26" s="203"/>
      <c r="J26" s="203"/>
      <c r="K26" s="203"/>
      <c r="L26" s="203"/>
      <c r="M26" s="203"/>
      <c r="N26" s="203"/>
    </row>
    <row r="28" spans="2:14" ht="16" customHeight="1" x14ac:dyDescent="0.2">
      <c r="B28" s="2" t="s">
        <v>552</v>
      </c>
      <c r="C28" s="2"/>
      <c r="D28" s="2"/>
      <c r="J28" s="2"/>
      <c r="K28" s="2"/>
    </row>
  </sheetData>
  <mergeCells count="4">
    <mergeCell ref="D4:E4"/>
    <mergeCell ref="D6:E6"/>
    <mergeCell ref="D7:E7"/>
    <mergeCell ref="D8:E8"/>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83DB-5B17-D74D-9667-880B30B26AC7}">
  <dimension ref="B2:O35"/>
  <sheetViews>
    <sheetView zoomScale="115" zoomScaleNormal="115" workbookViewId="0"/>
  </sheetViews>
  <sheetFormatPr baseColWidth="10" defaultRowHeight="16" x14ac:dyDescent="0.2"/>
  <cols>
    <col min="1" max="1" width="2.6640625" style="2" customWidth="1"/>
    <col min="2" max="2" width="13.83203125" style="2" customWidth="1"/>
    <col min="3" max="3" width="31.6640625" style="2" customWidth="1"/>
    <col min="4" max="7" width="10.83203125" style="2"/>
    <col min="8" max="8" width="10.83203125" style="2" customWidth="1"/>
    <col min="9" max="9" width="10.83203125" style="2"/>
    <col min="10" max="10" width="24.1640625" style="2" bestFit="1" customWidth="1"/>
    <col min="11" max="11" width="10.83203125" style="2" customWidth="1"/>
    <col min="12" max="14" width="10.83203125" style="2"/>
    <col min="15" max="15" width="20.33203125" style="2" customWidth="1"/>
    <col min="16" max="16384" width="10.83203125" style="2"/>
  </cols>
  <sheetData>
    <row r="2" spans="2:15" ht="25" customHeight="1" x14ac:dyDescent="0.2">
      <c r="B2" s="460" t="s">
        <v>135</v>
      </c>
      <c r="C2" s="461"/>
      <c r="D2" s="461"/>
      <c r="E2" s="461"/>
      <c r="F2" s="461"/>
      <c r="G2" s="462"/>
      <c r="I2" s="455" t="s">
        <v>136</v>
      </c>
      <c r="J2" s="456"/>
      <c r="K2" s="456"/>
      <c r="L2" s="456"/>
      <c r="M2" s="456"/>
      <c r="N2" s="456"/>
      <c r="O2" s="457"/>
    </row>
    <row r="3" spans="2:15" x14ac:dyDescent="0.2">
      <c r="B3" s="463" t="s">
        <v>0</v>
      </c>
      <c r="C3" s="3" t="s">
        <v>1</v>
      </c>
      <c r="D3" s="3">
        <v>61</v>
      </c>
      <c r="E3" s="4" t="s">
        <v>73</v>
      </c>
      <c r="F3" s="279">
        <f>CONVERT(D3,E3,G3)</f>
        <v>1.5494000000000001</v>
      </c>
      <c r="G3" s="14" t="s">
        <v>74</v>
      </c>
      <c r="I3" s="430" t="s">
        <v>24</v>
      </c>
      <c r="J3" s="5" t="s">
        <v>27</v>
      </c>
      <c r="K3" s="31">
        <f>(1/(2*PI()))*SQRT(wheelRate_front_SI/((totalSprungWeight_N/9.81)/4))</f>
        <v>2.984844955435491</v>
      </c>
      <c r="L3" s="4" t="s">
        <v>81</v>
      </c>
      <c r="M3" s="19"/>
      <c r="N3" s="14"/>
      <c r="O3" s="458" t="s">
        <v>261</v>
      </c>
    </row>
    <row r="4" spans="2:15" x14ac:dyDescent="0.2">
      <c r="B4" s="464"/>
      <c r="C4" s="2" t="s">
        <v>148</v>
      </c>
      <c r="D4" s="2">
        <v>44</v>
      </c>
      <c r="E4" s="6" t="s">
        <v>73</v>
      </c>
      <c r="F4" s="280">
        <f t="shared" ref="F4:F6" si="0">CONVERT(D4,E4,G4)</f>
        <v>1.1175999999999999</v>
      </c>
      <c r="G4" s="16" t="s">
        <v>74</v>
      </c>
      <c r="I4" s="431"/>
      <c r="J4" s="10" t="s">
        <v>28</v>
      </c>
      <c r="K4" s="32">
        <f>(1/(2*PI()))*SQRT(wheelRate_rear_SI/((totalSprungWeight_N/9.81)/4))</f>
        <v>3.305967158074167</v>
      </c>
      <c r="L4" s="9" t="s">
        <v>81</v>
      </c>
      <c r="M4" s="20"/>
      <c r="N4" s="18"/>
      <c r="O4" s="469"/>
    </row>
    <row r="5" spans="2:15" ht="16" customHeight="1" x14ac:dyDescent="0.2">
      <c r="B5" s="464"/>
      <c r="C5" s="2" t="s">
        <v>149</v>
      </c>
      <c r="D5" s="2">
        <v>44</v>
      </c>
      <c r="E5" s="6" t="s">
        <v>73</v>
      </c>
      <c r="F5" s="280">
        <f t="shared" si="0"/>
        <v>1.1175999999999999</v>
      </c>
      <c r="G5" s="16" t="s">
        <v>74</v>
      </c>
      <c r="I5" s="475" t="s">
        <v>22</v>
      </c>
      <c r="J5" s="5" t="s">
        <v>564</v>
      </c>
      <c r="K5" s="333">
        <f>wheelRate_front_SI*0.0057101471</f>
        <v>102.4520183047606</v>
      </c>
      <c r="L5" s="4" t="s">
        <v>82</v>
      </c>
      <c r="M5" s="69">
        <f>springRate_front_SI/(MR_front^2)</f>
        <v>17942.097902304584</v>
      </c>
      <c r="N5" s="14" t="s">
        <v>83</v>
      </c>
      <c r="O5" s="458" t="s">
        <v>221</v>
      </c>
    </row>
    <row r="6" spans="2:15" x14ac:dyDescent="0.2">
      <c r="B6" s="465"/>
      <c r="C6" s="8" t="s">
        <v>2</v>
      </c>
      <c r="D6" s="8">
        <v>1.5</v>
      </c>
      <c r="E6" s="9" t="s">
        <v>73</v>
      </c>
      <c r="F6" s="281">
        <f t="shared" si="0"/>
        <v>3.8100000000000002E-2</v>
      </c>
      <c r="G6" s="18" t="s">
        <v>74</v>
      </c>
      <c r="I6" s="476"/>
      <c r="J6" s="7" t="s">
        <v>565</v>
      </c>
      <c r="K6" s="334">
        <f>wheelRate_rear_SI*0.0057101471</f>
        <v>125.68227520827348</v>
      </c>
      <c r="L6" s="6" t="s">
        <v>82</v>
      </c>
      <c r="M6" s="30">
        <f>springRate_rear_SI/(MR_rear^2)</f>
        <v>22010.33931477413</v>
      </c>
      <c r="N6" s="16" t="s">
        <v>83</v>
      </c>
      <c r="O6" s="459"/>
    </row>
    <row r="7" spans="2:15" ht="16" customHeight="1" x14ac:dyDescent="0.2">
      <c r="B7" s="466" t="s">
        <v>3</v>
      </c>
      <c r="C7" s="3" t="s">
        <v>147</v>
      </c>
      <c r="D7" s="3">
        <v>0.5</v>
      </c>
      <c r="E7" s="4" t="s">
        <v>77</v>
      </c>
      <c r="F7" s="282" t="s">
        <v>77</v>
      </c>
      <c r="G7" s="14" t="s">
        <v>77</v>
      </c>
      <c r="I7" s="476"/>
      <c r="J7" s="7" t="s">
        <v>554</v>
      </c>
      <c r="K7" s="334">
        <v>150</v>
      </c>
      <c r="L7" s="6" t="s">
        <v>82</v>
      </c>
      <c r="M7" s="30">
        <f>springRate_front_imp/0.0057101471</f>
        <v>26269.025538764141</v>
      </c>
      <c r="N7" s="16" t="s">
        <v>83</v>
      </c>
      <c r="O7" s="459"/>
    </row>
    <row r="8" spans="2:15" x14ac:dyDescent="0.2">
      <c r="B8" s="467"/>
      <c r="C8" s="2" t="s">
        <v>4</v>
      </c>
      <c r="D8" s="2">
        <v>9.875</v>
      </c>
      <c r="E8" s="6" t="s">
        <v>73</v>
      </c>
      <c r="F8" s="280">
        <f>CONVERT(D8,E8,G8)</f>
        <v>0.25082500000000002</v>
      </c>
      <c r="G8" s="16" t="s">
        <v>74</v>
      </c>
      <c r="I8" s="476"/>
      <c r="J8" s="7" t="s">
        <v>555</v>
      </c>
      <c r="K8" s="334">
        <v>175</v>
      </c>
      <c r="L8" s="6" t="s">
        <v>82</v>
      </c>
      <c r="M8" s="30">
        <f>springRate_rear_imp/0.0057101471</f>
        <v>30647.196461891497</v>
      </c>
      <c r="N8" s="16" t="s">
        <v>83</v>
      </c>
      <c r="O8" s="459"/>
    </row>
    <row r="9" spans="2:15" x14ac:dyDescent="0.2">
      <c r="B9" s="467"/>
      <c r="C9" s="2" t="s">
        <v>5</v>
      </c>
      <c r="D9" s="2">
        <v>2.8959999999999999</v>
      </c>
      <c r="E9" s="6" t="s">
        <v>73</v>
      </c>
      <c r="F9" s="280">
        <f t="shared" ref="F9:F16" si="1">CONVERT(D9,E9,G9)</f>
        <v>7.3558399999999996E-2</v>
      </c>
      <c r="G9" s="16" t="s">
        <v>74</v>
      </c>
      <c r="I9" s="476"/>
      <c r="J9" s="7" t="s">
        <v>561</v>
      </c>
      <c r="K9" s="375">
        <v>150</v>
      </c>
      <c r="L9" s="6" t="s">
        <v>82</v>
      </c>
      <c r="M9" s="335">
        <f>K9/0.0057101471</f>
        <v>26269.025538764141</v>
      </c>
      <c r="N9" s="16" t="s">
        <v>83</v>
      </c>
      <c r="O9" s="459" t="s">
        <v>563</v>
      </c>
    </row>
    <row r="10" spans="2:15" x14ac:dyDescent="0.2">
      <c r="B10" s="467"/>
      <c r="C10" s="2" t="s">
        <v>6</v>
      </c>
      <c r="D10" s="2">
        <v>3.786</v>
      </c>
      <c r="E10" s="6" t="s">
        <v>73</v>
      </c>
      <c r="F10" s="280">
        <f t="shared" si="1"/>
        <v>9.6164399999999997E-2</v>
      </c>
      <c r="G10" s="16" t="s">
        <v>74</v>
      </c>
      <c r="I10" s="476"/>
      <c r="J10" s="7" t="s">
        <v>562</v>
      </c>
      <c r="K10" s="375">
        <v>175</v>
      </c>
      <c r="L10" s="6" t="s">
        <v>82</v>
      </c>
      <c r="M10" s="335">
        <f>K10/0.0057101471</f>
        <v>30647.196461891497</v>
      </c>
      <c r="N10" s="16" t="s">
        <v>83</v>
      </c>
      <c r="O10" s="474"/>
    </row>
    <row r="11" spans="2:15" x14ac:dyDescent="0.2">
      <c r="B11" s="467"/>
      <c r="C11" s="2" t="s">
        <v>7</v>
      </c>
      <c r="D11" s="2">
        <v>420</v>
      </c>
      <c r="E11" s="6" t="s">
        <v>75</v>
      </c>
      <c r="F11" s="280">
        <f t="shared" si="1"/>
        <v>1868.2530784094101</v>
      </c>
      <c r="G11" s="16" t="s">
        <v>76</v>
      </c>
      <c r="I11" s="477"/>
      <c r="J11" s="10" t="s">
        <v>33</v>
      </c>
      <c r="K11" s="8">
        <v>743</v>
      </c>
      <c r="L11" s="9" t="s">
        <v>82</v>
      </c>
      <c r="M11" s="20">
        <f>K11*175.12683699</f>
        <v>130119.23988356999</v>
      </c>
      <c r="N11" s="18" t="s">
        <v>83</v>
      </c>
      <c r="O11" s="92" t="s">
        <v>262</v>
      </c>
    </row>
    <row r="12" spans="2:15" ht="16" customHeight="1" x14ac:dyDescent="0.2">
      <c r="B12" s="467"/>
      <c r="C12" s="2" t="s">
        <v>8</v>
      </c>
      <c r="D12" s="2">
        <v>150</v>
      </c>
      <c r="E12" s="6" t="s">
        <v>75</v>
      </c>
      <c r="F12" s="280">
        <f t="shared" si="1"/>
        <v>667.23324228907506</v>
      </c>
      <c r="G12" s="16" t="s">
        <v>76</v>
      </c>
    </row>
    <row r="13" spans="2:15" ht="25" customHeight="1" x14ac:dyDescent="0.2">
      <c r="B13" s="467"/>
      <c r="C13" s="2" t="s">
        <v>9</v>
      </c>
      <c r="D13" s="2">
        <f>D11+D12</f>
        <v>570</v>
      </c>
      <c r="E13" s="6" t="s">
        <v>75</v>
      </c>
      <c r="F13" s="280">
        <f t="shared" si="1"/>
        <v>2535.4863206984851</v>
      </c>
      <c r="G13" s="16" t="s">
        <v>76</v>
      </c>
      <c r="I13" s="460" t="s">
        <v>336</v>
      </c>
      <c r="J13" s="461"/>
      <c r="K13" s="461"/>
      <c r="L13" s="461"/>
      <c r="M13" s="461"/>
      <c r="N13" s="461"/>
      <c r="O13" s="462"/>
    </row>
    <row r="14" spans="2:15" ht="16" customHeight="1" x14ac:dyDescent="0.2">
      <c r="B14" s="467"/>
      <c r="C14" s="2" t="s">
        <v>174</v>
      </c>
      <c r="D14" s="2">
        <f>D13-(2*D15)-(2*D16)</f>
        <v>450</v>
      </c>
      <c r="E14" s="6" t="s">
        <v>75</v>
      </c>
      <c r="F14" s="280">
        <f t="shared" si="1"/>
        <v>2001.6997268672251</v>
      </c>
      <c r="G14" s="16" t="s">
        <v>76</v>
      </c>
      <c r="I14" s="420" t="s">
        <v>23</v>
      </c>
      <c r="J14" s="3" t="s">
        <v>25</v>
      </c>
      <c r="K14" s="3">
        <f>'Roll Rates'!H20</f>
        <v>0.55000000000000004</v>
      </c>
      <c r="L14" s="4" t="s">
        <v>80</v>
      </c>
      <c r="M14" s="449" t="s">
        <v>398</v>
      </c>
      <c r="N14" s="450"/>
      <c r="O14" s="451"/>
    </row>
    <row r="15" spans="2:15" x14ac:dyDescent="0.2">
      <c r="B15" s="467"/>
      <c r="C15" s="2" t="s">
        <v>10</v>
      </c>
      <c r="D15" s="2">
        <v>30</v>
      </c>
      <c r="E15" s="6" t="s">
        <v>75</v>
      </c>
      <c r="F15" s="280">
        <f t="shared" si="1"/>
        <v>133.446648457815</v>
      </c>
      <c r="G15" s="16" t="s">
        <v>76</v>
      </c>
      <c r="I15" s="422"/>
      <c r="J15" s="8" t="s">
        <v>26</v>
      </c>
      <c r="K15" s="8">
        <f>'Roll Rates'!J20</f>
        <v>0.7</v>
      </c>
      <c r="L15" s="9" t="s">
        <v>80</v>
      </c>
      <c r="M15" s="452"/>
      <c r="N15" s="453"/>
      <c r="O15" s="454"/>
    </row>
    <row r="16" spans="2:15" ht="16" customHeight="1" x14ac:dyDescent="0.2">
      <c r="B16" s="468"/>
      <c r="C16" s="8" t="s">
        <v>11</v>
      </c>
      <c r="D16" s="8">
        <v>30</v>
      </c>
      <c r="E16" s="9" t="s">
        <v>75</v>
      </c>
      <c r="F16" s="281">
        <f t="shared" si="1"/>
        <v>133.446648457815</v>
      </c>
      <c r="G16" s="18" t="s">
        <v>76</v>
      </c>
      <c r="I16" s="463" t="s">
        <v>334</v>
      </c>
      <c r="J16" s="5" t="s">
        <v>444</v>
      </c>
      <c r="K16" s="31">
        <f>-Pitch!E21</f>
        <v>0.55601836209535493</v>
      </c>
      <c r="L16" s="4" t="s">
        <v>80</v>
      </c>
      <c r="M16" s="470" t="s">
        <v>445</v>
      </c>
      <c r="N16" s="470"/>
      <c r="O16" s="471"/>
    </row>
    <row r="17" spans="2:15" x14ac:dyDescent="0.2">
      <c r="B17" s="420" t="s">
        <v>12</v>
      </c>
      <c r="C17" s="3" t="s">
        <v>16</v>
      </c>
      <c r="D17" s="126">
        <v>1.21</v>
      </c>
      <c r="E17" s="4" t="s">
        <v>77</v>
      </c>
      <c r="F17" s="423" t="s">
        <v>279</v>
      </c>
      <c r="G17" s="424"/>
      <c r="I17" s="465"/>
      <c r="J17" s="10" t="s">
        <v>443</v>
      </c>
      <c r="K17" s="32">
        <f>-Pitch!C21</f>
        <v>0.52261180019553743</v>
      </c>
      <c r="L17" s="9" t="s">
        <v>80</v>
      </c>
      <c r="M17" s="472"/>
      <c r="N17" s="472"/>
      <c r="O17" s="473"/>
    </row>
    <row r="18" spans="2:15" x14ac:dyDescent="0.2">
      <c r="B18" s="421"/>
      <c r="C18" s="2" t="s">
        <v>15</v>
      </c>
      <c r="D18" s="76">
        <v>1.18</v>
      </c>
      <c r="E18" s="6" t="s">
        <v>77</v>
      </c>
      <c r="F18" s="425"/>
      <c r="G18" s="426"/>
      <c r="I18" s="466" t="s">
        <v>335</v>
      </c>
      <c r="J18" s="3" t="s">
        <v>397</v>
      </c>
      <c r="K18" s="331">
        <f>Understeer!C14</f>
        <v>0.36720103119235326</v>
      </c>
      <c r="L18" s="4" t="s">
        <v>80</v>
      </c>
      <c r="M18" s="470" t="s">
        <v>387</v>
      </c>
      <c r="N18" s="470"/>
      <c r="O18" s="471"/>
    </row>
    <row r="19" spans="2:15" x14ac:dyDescent="0.2">
      <c r="B19" s="421"/>
      <c r="C19" s="2" t="s">
        <v>14</v>
      </c>
      <c r="D19" s="2">
        <v>0.114</v>
      </c>
      <c r="E19" s="6" t="s">
        <v>77</v>
      </c>
      <c r="F19" s="425" t="s">
        <v>222</v>
      </c>
      <c r="G19" s="426"/>
      <c r="I19" s="468"/>
      <c r="J19" s="8" t="s">
        <v>389</v>
      </c>
      <c r="K19" s="332">
        <f>Understeer!C17</f>
        <v>10.611845576915831</v>
      </c>
      <c r="L19" s="9" t="s">
        <v>390</v>
      </c>
      <c r="M19" s="478" t="s">
        <v>553</v>
      </c>
      <c r="N19" s="472"/>
      <c r="O19" s="473"/>
    </row>
    <row r="20" spans="2:15" ht="16" customHeight="1" x14ac:dyDescent="0.2">
      <c r="B20" s="422"/>
      <c r="C20" s="8" t="s">
        <v>13</v>
      </c>
      <c r="D20" s="8">
        <v>0.157</v>
      </c>
      <c r="E20" s="9" t="s">
        <v>77</v>
      </c>
      <c r="F20" s="434"/>
      <c r="G20" s="435"/>
    </row>
    <row r="21" spans="2:15" ht="25" customHeight="1" x14ac:dyDescent="0.2">
      <c r="B21" s="436" t="s">
        <v>394</v>
      </c>
      <c r="C21" s="5" t="s">
        <v>18</v>
      </c>
      <c r="D21" s="3">
        <f>'Roll Rates'!E24</f>
        <v>48</v>
      </c>
      <c r="E21" s="4" t="s">
        <v>78</v>
      </c>
      <c r="F21" s="432" t="s">
        <v>175</v>
      </c>
      <c r="G21" s="433"/>
      <c r="I21" s="440" t="s">
        <v>325</v>
      </c>
      <c r="J21" s="441"/>
      <c r="K21" s="441"/>
      <c r="L21" s="441"/>
      <c r="M21" s="441"/>
      <c r="N21" s="441"/>
      <c r="O21" s="442"/>
    </row>
    <row r="22" spans="2:15" x14ac:dyDescent="0.2">
      <c r="B22" s="437"/>
      <c r="C22" s="2" t="s">
        <v>395</v>
      </c>
      <c r="D22" s="76">
        <f>'Load Transfer'!C31</f>
        <v>362.1008522731936</v>
      </c>
      <c r="E22" s="6" t="s">
        <v>75</v>
      </c>
      <c r="F22" s="283">
        <f>CONVERT(D22,E22,G22)</f>
        <v>1610.7048379858691</v>
      </c>
      <c r="G22" s="284" t="s">
        <v>76</v>
      </c>
      <c r="I22" s="438" t="s">
        <v>330</v>
      </c>
      <c r="J22" s="439"/>
      <c r="K22" s="439" t="s">
        <v>328</v>
      </c>
      <c r="L22" s="439"/>
      <c r="M22" s="439" t="s">
        <v>329</v>
      </c>
      <c r="N22" s="443"/>
      <c r="O22" s="444" t="s">
        <v>332</v>
      </c>
    </row>
    <row r="23" spans="2:15" x14ac:dyDescent="0.2">
      <c r="B23" s="427" t="s">
        <v>19</v>
      </c>
      <c r="C23" s="5" t="s">
        <v>150</v>
      </c>
      <c r="D23" s="3">
        <f>Kinematics!C13</f>
        <v>4.45</v>
      </c>
      <c r="E23" s="4" t="s">
        <v>79</v>
      </c>
      <c r="F23" s="13"/>
      <c r="G23" s="14"/>
      <c r="I23" s="447" t="s">
        <v>45</v>
      </c>
      <c r="J23" s="448"/>
      <c r="K23" s="29">
        <v>2.2999999999999998</v>
      </c>
      <c r="L23" s="2" t="s">
        <v>327</v>
      </c>
      <c r="M23" s="29">
        <v>0</v>
      </c>
      <c r="N23" s="2" t="s">
        <v>327</v>
      </c>
      <c r="O23" s="445"/>
    </row>
    <row r="24" spans="2:15" x14ac:dyDescent="0.2">
      <c r="B24" s="428"/>
      <c r="C24" s="7" t="s">
        <v>151</v>
      </c>
      <c r="D24" s="2">
        <f>Kinematics!E13</f>
        <v>4.96</v>
      </c>
      <c r="E24" s="6" t="s">
        <v>79</v>
      </c>
      <c r="F24" s="15"/>
      <c r="G24" s="16"/>
      <c r="I24" s="447" t="s">
        <v>47</v>
      </c>
      <c r="J24" s="448"/>
      <c r="K24" s="29">
        <v>0</v>
      </c>
      <c r="L24" s="2" t="s">
        <v>327</v>
      </c>
      <c r="M24" s="29">
        <v>1.5</v>
      </c>
      <c r="N24" s="2" t="s">
        <v>327</v>
      </c>
      <c r="O24" s="445"/>
    </row>
    <row r="25" spans="2:15" x14ac:dyDescent="0.2">
      <c r="B25" s="428"/>
      <c r="C25" s="7" t="s">
        <v>153</v>
      </c>
      <c r="D25" s="2">
        <f>Kinematics!C28</f>
        <v>12</v>
      </c>
      <c r="E25" s="6" t="s">
        <v>78</v>
      </c>
      <c r="F25" s="15"/>
      <c r="G25" s="16"/>
      <c r="I25" s="447" t="s">
        <v>324</v>
      </c>
      <c r="J25" s="448"/>
      <c r="K25" s="29">
        <v>0</v>
      </c>
      <c r="L25" s="2" t="s">
        <v>327</v>
      </c>
      <c r="M25" s="29">
        <v>-1.9</v>
      </c>
      <c r="N25" s="2" t="s">
        <v>327</v>
      </c>
      <c r="O25" s="445"/>
    </row>
    <row r="26" spans="2:15" x14ac:dyDescent="0.2">
      <c r="B26" s="428"/>
      <c r="C26" s="7" t="s">
        <v>20</v>
      </c>
      <c r="D26" s="2">
        <f>Kinematics!C47</f>
        <v>25</v>
      </c>
      <c r="E26" s="6" t="s">
        <v>78</v>
      </c>
      <c r="F26" s="15"/>
      <c r="G26" s="16"/>
      <c r="I26" s="447" t="s">
        <v>326</v>
      </c>
      <c r="J26" s="448"/>
      <c r="K26" s="29">
        <v>1.24</v>
      </c>
      <c r="L26" s="2" t="s">
        <v>327</v>
      </c>
      <c r="M26" s="29">
        <v>1.24</v>
      </c>
      <c r="N26" s="2" t="s">
        <v>327</v>
      </c>
      <c r="O26" s="445"/>
    </row>
    <row r="27" spans="2:15" x14ac:dyDescent="0.2">
      <c r="B27" s="428"/>
      <c r="C27" s="7" t="s">
        <v>21</v>
      </c>
      <c r="D27" s="2">
        <f>Kinematics!C48</f>
        <v>15</v>
      </c>
      <c r="E27" s="6" t="s">
        <v>78</v>
      </c>
      <c r="F27" s="15"/>
      <c r="G27" s="16"/>
      <c r="I27" s="479" t="s">
        <v>331</v>
      </c>
      <c r="J27" s="480"/>
      <c r="K27" s="196">
        <v>1.47</v>
      </c>
      <c r="L27" s="75" t="s">
        <v>327</v>
      </c>
      <c r="M27" s="29">
        <v>-1.47</v>
      </c>
      <c r="N27" s="2" t="s">
        <v>327</v>
      </c>
      <c r="O27" s="445"/>
    </row>
    <row r="28" spans="2:15" x14ac:dyDescent="0.2">
      <c r="B28" s="428"/>
      <c r="C28" s="7" t="s">
        <v>280</v>
      </c>
      <c r="D28" s="29">
        <f>Kinematics!E25</f>
        <v>5.1926645969221372</v>
      </c>
      <c r="E28" s="6" t="s">
        <v>160</v>
      </c>
      <c r="F28" s="15"/>
      <c r="G28" s="16"/>
      <c r="I28" s="481" t="s">
        <v>333</v>
      </c>
      <c r="J28" s="482"/>
      <c r="K28" s="197">
        <v>3.5</v>
      </c>
      <c r="L28" s="176" t="s">
        <v>327</v>
      </c>
      <c r="M28" s="201" t="s">
        <v>77</v>
      </c>
      <c r="N28" s="8" t="s">
        <v>77</v>
      </c>
      <c r="O28" s="446"/>
    </row>
    <row r="29" spans="2:15" x14ac:dyDescent="0.2">
      <c r="B29" s="428"/>
      <c r="C29" s="7" t="s">
        <v>323</v>
      </c>
      <c r="D29" s="29">
        <f>Kinematics!C21</f>
        <v>9.9000000000000005E-2</v>
      </c>
      <c r="E29" s="6" t="s">
        <v>73</v>
      </c>
      <c r="F29" s="15"/>
      <c r="G29" s="16"/>
    </row>
    <row r="30" spans="2:15" x14ac:dyDescent="0.2">
      <c r="B30" s="428"/>
      <c r="C30" s="7" t="s">
        <v>284</v>
      </c>
      <c r="D30" s="2">
        <f>Kinematics!C34</f>
        <v>0</v>
      </c>
      <c r="E30" s="6" t="s">
        <v>79</v>
      </c>
      <c r="F30" s="15"/>
      <c r="G30" s="16"/>
    </row>
    <row r="31" spans="2:15" x14ac:dyDescent="0.2">
      <c r="B31" s="428"/>
      <c r="C31" s="7" t="s">
        <v>283</v>
      </c>
      <c r="D31" s="2">
        <f>Kinematics!E34</f>
        <v>0</v>
      </c>
      <c r="E31" s="6" t="s">
        <v>79</v>
      </c>
      <c r="F31" s="15"/>
      <c r="G31" s="16"/>
    </row>
    <row r="32" spans="2:15" x14ac:dyDescent="0.2">
      <c r="B32" s="428"/>
      <c r="C32" s="7" t="s">
        <v>285</v>
      </c>
      <c r="D32" s="2">
        <f>Kinematics!C33</f>
        <v>0</v>
      </c>
      <c r="E32" s="6" t="s">
        <v>79</v>
      </c>
      <c r="F32" s="15"/>
      <c r="G32" s="16"/>
    </row>
    <row r="33" spans="2:7" x14ac:dyDescent="0.2">
      <c r="B33" s="428"/>
      <c r="C33" s="7" t="s">
        <v>286</v>
      </c>
      <c r="D33" s="2">
        <f>Kinematics!E33</f>
        <v>0</v>
      </c>
      <c r="E33" s="6" t="s">
        <v>79</v>
      </c>
      <c r="F33" s="15"/>
      <c r="G33" s="16"/>
    </row>
    <row r="34" spans="2:7" x14ac:dyDescent="0.2">
      <c r="B34" s="428"/>
      <c r="C34" s="7" t="s">
        <v>281</v>
      </c>
      <c r="D34" s="2">
        <f>Kinematics!C38</f>
        <v>0</v>
      </c>
      <c r="E34" s="6" t="s">
        <v>79</v>
      </c>
      <c r="F34" s="15"/>
      <c r="G34" s="16"/>
    </row>
    <row r="35" spans="2:7" x14ac:dyDescent="0.2">
      <c r="B35" s="429"/>
      <c r="C35" s="10" t="s">
        <v>282</v>
      </c>
      <c r="D35" s="8">
        <f>Kinematics!E38</f>
        <v>0</v>
      </c>
      <c r="E35" s="9" t="s">
        <v>79</v>
      </c>
      <c r="F35" s="17"/>
      <c r="G35" s="18"/>
    </row>
  </sheetData>
  <mergeCells count="34">
    <mergeCell ref="I26:J26"/>
    <mergeCell ref="I27:J27"/>
    <mergeCell ref="I28:J28"/>
    <mergeCell ref="I18:I19"/>
    <mergeCell ref="M18:O18"/>
    <mergeCell ref="O9:O10"/>
    <mergeCell ref="I5:I11"/>
    <mergeCell ref="M19:O19"/>
    <mergeCell ref="I25:J25"/>
    <mergeCell ref="I2:O2"/>
    <mergeCell ref="O5:O8"/>
    <mergeCell ref="B2:G2"/>
    <mergeCell ref="B3:B6"/>
    <mergeCell ref="B7:B16"/>
    <mergeCell ref="O3:O4"/>
    <mergeCell ref="I13:O13"/>
    <mergeCell ref="I16:I17"/>
    <mergeCell ref="M16:O17"/>
    <mergeCell ref="B17:B20"/>
    <mergeCell ref="F17:G18"/>
    <mergeCell ref="B23:B35"/>
    <mergeCell ref="I14:I15"/>
    <mergeCell ref="I3:I4"/>
    <mergeCell ref="F21:G21"/>
    <mergeCell ref="F19:G20"/>
    <mergeCell ref="B21:B22"/>
    <mergeCell ref="I22:J22"/>
    <mergeCell ref="I21:O21"/>
    <mergeCell ref="K22:L22"/>
    <mergeCell ref="M22:N22"/>
    <mergeCell ref="O22:O28"/>
    <mergeCell ref="I23:J23"/>
    <mergeCell ref="I24:J24"/>
    <mergeCell ref="M14:O1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99E8-209E-E246-9BBF-9917C0240FF3}">
  <dimension ref="B2:T28"/>
  <sheetViews>
    <sheetView zoomScale="106" zoomScaleNormal="106" workbookViewId="0"/>
  </sheetViews>
  <sheetFormatPr baseColWidth="10" defaultRowHeight="16" x14ac:dyDescent="0.2"/>
  <cols>
    <col min="1" max="1" width="2.6640625" style="2" customWidth="1"/>
    <col min="2" max="2" width="13.33203125" style="2" bestFit="1" customWidth="1"/>
    <col min="3" max="3" width="12.6640625" style="2" bestFit="1" customWidth="1"/>
    <col min="4" max="4" width="12.5" style="2" customWidth="1"/>
    <col min="5" max="5" width="10.83203125" style="2"/>
    <col min="6" max="6" width="12.6640625" style="2" bestFit="1" customWidth="1"/>
    <col min="7" max="8" width="10.83203125" style="2"/>
    <col min="9" max="9" width="12.5" style="2" bestFit="1" customWidth="1"/>
    <col min="10" max="10" width="10.83203125" style="2"/>
    <col min="11" max="11" width="12.5" style="2" bestFit="1" customWidth="1"/>
    <col min="12" max="12" width="10.83203125" style="2"/>
    <col min="13" max="13" width="14" style="2" bestFit="1" customWidth="1"/>
    <col min="14" max="14" width="10.83203125" style="2"/>
    <col min="15" max="15" width="14" style="2" bestFit="1" customWidth="1"/>
    <col min="16" max="16384" width="10.83203125" style="2"/>
  </cols>
  <sheetData>
    <row r="2" spans="2:20" ht="25" customHeight="1" x14ac:dyDescent="0.2">
      <c r="B2" s="505" t="s">
        <v>142</v>
      </c>
      <c r="C2" s="506"/>
      <c r="D2" s="506"/>
      <c r="E2" s="506"/>
      <c r="F2" s="506"/>
      <c r="G2" s="506"/>
      <c r="H2" s="506"/>
      <c r="I2" s="506"/>
      <c r="J2" s="506"/>
      <c r="K2" s="506"/>
      <c r="L2" s="506"/>
      <c r="M2" s="506"/>
      <c r="N2" s="506"/>
      <c r="O2" s="506"/>
      <c r="P2" s="506"/>
      <c r="Q2" s="506"/>
      <c r="R2" s="506"/>
      <c r="S2" s="506"/>
      <c r="T2" s="507"/>
    </row>
    <row r="3" spans="2:20" x14ac:dyDescent="0.2">
      <c r="B3" s="167"/>
      <c r="C3" s="115" t="s">
        <v>51</v>
      </c>
      <c r="D3" s="11" t="s">
        <v>52</v>
      </c>
      <c r="E3" s="11" t="s">
        <v>49</v>
      </c>
      <c r="F3" s="11" t="s">
        <v>50</v>
      </c>
      <c r="G3" s="11" t="s">
        <v>53</v>
      </c>
      <c r="H3" s="11" t="s">
        <v>54</v>
      </c>
      <c r="I3" s="11" t="s">
        <v>55</v>
      </c>
      <c r="J3" s="168" t="s">
        <v>263</v>
      </c>
      <c r="K3" s="11" t="s">
        <v>58</v>
      </c>
      <c r="L3" s="11" t="s">
        <v>59</v>
      </c>
      <c r="M3" s="11" t="s">
        <v>56</v>
      </c>
      <c r="N3" s="11" t="s">
        <v>57</v>
      </c>
      <c r="O3" s="11" t="s">
        <v>218</v>
      </c>
      <c r="P3" s="11" t="s">
        <v>60</v>
      </c>
      <c r="Q3" s="11" t="s">
        <v>61</v>
      </c>
      <c r="R3" s="11" t="s">
        <v>264</v>
      </c>
      <c r="S3" s="512" t="s">
        <v>305</v>
      </c>
      <c r="T3" s="513"/>
    </row>
    <row r="4" spans="2:20" x14ac:dyDescent="0.2">
      <c r="B4" s="115" t="s">
        <v>45</v>
      </c>
      <c r="C4" s="128">
        <v>297.37700000000001</v>
      </c>
      <c r="D4" s="129">
        <v>245.32499999999999</v>
      </c>
      <c r="E4" s="130">
        <v>1183</v>
      </c>
      <c r="F4" s="129">
        <v>57.189</v>
      </c>
      <c r="G4" s="129">
        <v>161.27000000000001</v>
      </c>
      <c r="H4" s="131">
        <v>263.76799999999997</v>
      </c>
      <c r="I4" s="131">
        <v>224.047</v>
      </c>
      <c r="J4" s="132">
        <v>60.654000000000003</v>
      </c>
      <c r="K4" s="133">
        <v>63.868000000000002</v>
      </c>
      <c r="L4" s="129">
        <v>413.18599999999998</v>
      </c>
      <c r="M4" s="129">
        <v>67.046999999999997</v>
      </c>
      <c r="N4" s="130">
        <v>605.57100000000003</v>
      </c>
      <c r="O4" s="130">
        <v>429.41699999999997</v>
      </c>
      <c r="P4" s="131">
        <v>253.37100000000001</v>
      </c>
      <c r="Q4" s="131">
        <v>196.381</v>
      </c>
      <c r="R4" s="164">
        <v>54.664000000000001</v>
      </c>
      <c r="S4" s="508" t="s">
        <v>304</v>
      </c>
      <c r="T4" s="509"/>
    </row>
    <row r="5" spans="2:20" x14ac:dyDescent="0.2">
      <c r="B5" s="115" t="s">
        <v>47</v>
      </c>
      <c r="C5" s="134">
        <v>45.929000000000002</v>
      </c>
      <c r="D5" s="135">
        <v>33.78</v>
      </c>
      <c r="E5" s="135">
        <v>83.727999999999994</v>
      </c>
      <c r="F5" s="136">
        <v>175.727</v>
      </c>
      <c r="G5" s="135">
        <v>44.972999999999999</v>
      </c>
      <c r="H5" s="137">
        <v>48.322000000000003</v>
      </c>
      <c r="I5" s="137">
        <v>46.701999999999998</v>
      </c>
      <c r="J5" s="138">
        <v>0</v>
      </c>
      <c r="K5" s="139">
        <v>324.92599999999999</v>
      </c>
      <c r="L5" s="135">
        <v>93.992000000000004</v>
      </c>
      <c r="M5" s="135">
        <v>1162</v>
      </c>
      <c r="N5" s="136">
        <v>1031.0999999999999</v>
      </c>
      <c r="O5" s="136">
        <v>85.253</v>
      </c>
      <c r="P5" s="137">
        <v>448.00799999999998</v>
      </c>
      <c r="Q5" s="137">
        <v>393.16399999999999</v>
      </c>
      <c r="R5" s="165">
        <v>0</v>
      </c>
      <c r="S5" s="508"/>
      <c r="T5" s="509"/>
    </row>
    <row r="6" spans="2:20" x14ac:dyDescent="0.2">
      <c r="B6" s="115" t="s">
        <v>46</v>
      </c>
      <c r="C6" s="140">
        <v>366.18799999999999</v>
      </c>
      <c r="D6" s="136">
        <v>360.81299999999999</v>
      </c>
      <c r="E6" s="136">
        <v>1204.9000000000001</v>
      </c>
      <c r="F6" s="135">
        <v>1784.6</v>
      </c>
      <c r="G6" s="136">
        <v>496.88499999999999</v>
      </c>
      <c r="H6" s="137">
        <v>366.31</v>
      </c>
      <c r="I6" s="137">
        <v>355.10599999999999</v>
      </c>
      <c r="J6" s="138">
        <v>0</v>
      </c>
      <c r="K6" s="141">
        <v>10.662000000000001</v>
      </c>
      <c r="L6" s="136">
        <v>6.9080000000000004</v>
      </c>
      <c r="M6" s="136">
        <v>39.701999999999998</v>
      </c>
      <c r="N6" s="135">
        <v>26.024000000000001</v>
      </c>
      <c r="O6" s="136">
        <v>0.26800000000000002</v>
      </c>
      <c r="P6" s="137">
        <v>9.01</v>
      </c>
      <c r="Q6" s="137">
        <v>7.9640000000000004</v>
      </c>
      <c r="R6" s="165">
        <v>0</v>
      </c>
      <c r="S6" s="508"/>
      <c r="T6" s="509"/>
    </row>
    <row r="7" spans="2:20" x14ac:dyDescent="0.2">
      <c r="B7" s="115" t="s">
        <v>48</v>
      </c>
      <c r="C7" s="134">
        <v>190.47300000000001</v>
      </c>
      <c r="D7" s="135">
        <v>39.601999999999997</v>
      </c>
      <c r="E7" s="135">
        <v>520.18799999999999</v>
      </c>
      <c r="F7" s="136">
        <v>502.1</v>
      </c>
      <c r="G7" s="135">
        <v>101.1</v>
      </c>
      <c r="H7" s="137">
        <v>143.178</v>
      </c>
      <c r="I7" s="137">
        <v>112.282</v>
      </c>
      <c r="J7" s="138">
        <v>51.27</v>
      </c>
      <c r="K7" s="139">
        <v>352.85199999999998</v>
      </c>
      <c r="L7" s="136">
        <v>166.01900000000001</v>
      </c>
      <c r="M7" s="135">
        <v>1090.8</v>
      </c>
      <c r="N7" s="136">
        <v>862.72799999999995</v>
      </c>
      <c r="O7" s="135">
        <v>216.006</v>
      </c>
      <c r="P7" s="137">
        <v>422.88900000000001</v>
      </c>
      <c r="Q7" s="137">
        <v>363.452</v>
      </c>
      <c r="R7" s="165">
        <v>14.861000000000001</v>
      </c>
      <c r="S7" s="508"/>
      <c r="T7" s="509"/>
    </row>
    <row r="8" spans="2:20" x14ac:dyDescent="0.2">
      <c r="B8" s="115" t="s">
        <v>223</v>
      </c>
      <c r="C8" s="142">
        <v>280.85599999999999</v>
      </c>
      <c r="D8" s="143">
        <v>515.75300000000004</v>
      </c>
      <c r="E8" s="143">
        <v>1197.8</v>
      </c>
      <c r="F8" s="144">
        <v>1557.5</v>
      </c>
      <c r="G8" s="143">
        <v>584.37599999999998</v>
      </c>
      <c r="H8" s="145">
        <v>319.40199999999999</v>
      </c>
      <c r="I8" s="145">
        <v>314.55399999999997</v>
      </c>
      <c r="J8" s="146">
        <v>9.7799999999999994</v>
      </c>
      <c r="K8" s="147">
        <v>120.792</v>
      </c>
      <c r="L8" s="143">
        <v>191.375</v>
      </c>
      <c r="M8" s="143">
        <v>530.76900000000001</v>
      </c>
      <c r="N8" s="144">
        <v>536.47</v>
      </c>
      <c r="O8" s="144">
        <v>131.12899999999999</v>
      </c>
      <c r="P8" s="145">
        <v>104.989</v>
      </c>
      <c r="Q8" s="145">
        <v>66.816999999999993</v>
      </c>
      <c r="R8" s="166">
        <v>52.847000000000001</v>
      </c>
      <c r="S8" s="510"/>
      <c r="T8" s="511"/>
    </row>
    <row r="9" spans="2:20" x14ac:dyDescent="0.2">
      <c r="B9" s="127" t="s">
        <v>62</v>
      </c>
      <c r="C9" s="148">
        <f>MAX(C4:C8)</f>
        <v>366.18799999999999</v>
      </c>
      <c r="D9" s="149">
        <f t="shared" ref="D9:O9" si="0">MAX(D4:D8)</f>
        <v>515.75300000000004</v>
      </c>
      <c r="E9" s="149">
        <f t="shared" si="0"/>
        <v>1204.9000000000001</v>
      </c>
      <c r="F9" s="149">
        <f t="shared" si="0"/>
        <v>1784.6</v>
      </c>
      <c r="G9" s="149">
        <f t="shared" si="0"/>
        <v>584.37599999999998</v>
      </c>
      <c r="H9" s="149">
        <f t="shared" si="0"/>
        <v>366.31</v>
      </c>
      <c r="I9" s="149">
        <f t="shared" si="0"/>
        <v>355.10599999999999</v>
      </c>
      <c r="J9" s="150">
        <f t="shared" si="0"/>
        <v>60.654000000000003</v>
      </c>
      <c r="K9" s="149">
        <f t="shared" si="0"/>
        <v>352.85199999999998</v>
      </c>
      <c r="L9" s="149">
        <f t="shared" si="0"/>
        <v>413.18599999999998</v>
      </c>
      <c r="M9" s="149">
        <f t="shared" si="0"/>
        <v>1162</v>
      </c>
      <c r="N9" s="149">
        <f t="shared" si="0"/>
        <v>1031.0999999999999</v>
      </c>
      <c r="O9" s="149">
        <f t="shared" si="0"/>
        <v>429.41699999999997</v>
      </c>
      <c r="P9" s="149">
        <f>MAX(P4:P8)</f>
        <v>448.00799999999998</v>
      </c>
      <c r="Q9" s="149">
        <f>MAX(Q4:Q8)</f>
        <v>393.16399999999999</v>
      </c>
      <c r="R9" s="150">
        <f>MAX(R4:R8)</f>
        <v>54.664000000000001</v>
      </c>
      <c r="S9" s="503" t="s">
        <v>299</v>
      </c>
      <c r="T9" s="504"/>
    </row>
    <row r="10" spans="2:20" x14ac:dyDescent="0.2">
      <c r="B10" s="159" t="s">
        <v>227</v>
      </c>
      <c r="C10" s="160" t="s">
        <v>228</v>
      </c>
      <c r="D10" s="161" t="s">
        <v>228</v>
      </c>
      <c r="E10" s="161" t="s">
        <v>228</v>
      </c>
      <c r="F10" s="161" t="s">
        <v>228</v>
      </c>
      <c r="G10" s="171" t="s">
        <v>320</v>
      </c>
      <c r="H10" s="162" t="s">
        <v>229</v>
      </c>
      <c r="I10" s="162" t="s">
        <v>229</v>
      </c>
      <c r="J10" s="163" t="s">
        <v>229</v>
      </c>
      <c r="K10" s="161" t="s">
        <v>228</v>
      </c>
      <c r="L10" s="161" t="s">
        <v>228</v>
      </c>
      <c r="M10" s="161" t="s">
        <v>228</v>
      </c>
      <c r="N10" s="161" t="s">
        <v>228</v>
      </c>
      <c r="O10" s="171" t="s">
        <v>320</v>
      </c>
      <c r="P10" s="162" t="s">
        <v>229</v>
      </c>
      <c r="Q10" s="162" t="s">
        <v>229</v>
      </c>
      <c r="R10" s="163" t="s">
        <v>229</v>
      </c>
      <c r="S10" s="501" t="s">
        <v>300</v>
      </c>
      <c r="T10" s="502"/>
    </row>
    <row r="12" spans="2:20" ht="25" customHeight="1" x14ac:dyDescent="0.2">
      <c r="B12" s="518" t="s">
        <v>224</v>
      </c>
      <c r="C12" s="519"/>
      <c r="D12" s="519"/>
      <c r="E12" s="519"/>
      <c r="F12" s="519"/>
      <c r="G12" s="520"/>
      <c r="I12" s="490" t="s">
        <v>322</v>
      </c>
      <c r="J12" s="491"/>
      <c r="K12" s="491"/>
      <c r="L12" s="492"/>
      <c r="M12" s="490" t="s">
        <v>319</v>
      </c>
      <c r="N12" s="491"/>
      <c r="O12" s="491"/>
      <c r="P12" s="492"/>
      <c r="Q12" s="514" t="s">
        <v>318</v>
      </c>
      <c r="R12" s="491"/>
      <c r="S12" s="491"/>
      <c r="T12" s="492"/>
    </row>
    <row r="13" spans="2:20" ht="20" customHeight="1" x14ac:dyDescent="0.2">
      <c r="B13" s="521" t="s">
        <v>63</v>
      </c>
      <c r="C13" s="522"/>
      <c r="D13" s="523"/>
      <c r="E13" s="515" t="s">
        <v>64</v>
      </c>
      <c r="F13" s="516"/>
      <c r="G13" s="517"/>
      <c r="I13" s="495" t="s">
        <v>230</v>
      </c>
      <c r="J13" s="496"/>
      <c r="K13" s="486" t="s">
        <v>231</v>
      </c>
      <c r="L13" s="487"/>
      <c r="M13" s="493" t="s">
        <v>312</v>
      </c>
      <c r="N13" s="494"/>
      <c r="O13" s="493" t="s">
        <v>311</v>
      </c>
      <c r="P13" s="494"/>
      <c r="Q13" s="495" t="s">
        <v>267</v>
      </c>
      <c r="R13" s="487"/>
      <c r="S13" s="495" t="s">
        <v>268</v>
      </c>
      <c r="T13" s="487"/>
    </row>
    <row r="14" spans="2:20" x14ac:dyDescent="0.2">
      <c r="B14" s="239" t="s">
        <v>301</v>
      </c>
      <c r="C14" s="154" t="s">
        <v>302</v>
      </c>
      <c r="D14" s="155" t="s">
        <v>303</v>
      </c>
      <c r="E14" s="157" t="s">
        <v>301</v>
      </c>
      <c r="F14" s="153" t="s">
        <v>302</v>
      </c>
      <c r="G14" s="240" t="s">
        <v>303</v>
      </c>
      <c r="I14" s="113" t="s">
        <v>307</v>
      </c>
      <c r="J14" s="77">
        <f>a_bump</f>
        <v>3.5</v>
      </c>
      <c r="K14" s="116" t="s">
        <v>307</v>
      </c>
      <c r="L14" s="76">
        <f>a_bump</f>
        <v>3.5</v>
      </c>
      <c r="M14" s="101" t="s">
        <v>314</v>
      </c>
      <c r="N14" s="169">
        <f>ABS(a_x_brake)</f>
        <v>1.9</v>
      </c>
      <c r="O14" s="170" t="s">
        <v>314</v>
      </c>
      <c r="P14" s="121">
        <f>ABS(a_x_brake)</f>
        <v>1.9</v>
      </c>
      <c r="Q14" s="113" t="s">
        <v>237</v>
      </c>
      <c r="R14" s="121">
        <v>2.9</v>
      </c>
      <c r="S14" s="116" t="s">
        <v>240</v>
      </c>
      <c r="T14" s="121">
        <v>2.63</v>
      </c>
    </row>
    <row r="15" spans="2:20" x14ac:dyDescent="0.2">
      <c r="B15" s="241" t="s">
        <v>51</v>
      </c>
      <c r="C15" s="151">
        <f>C6</f>
        <v>366.18799999999999</v>
      </c>
      <c r="D15" s="156">
        <f>C4</f>
        <v>297.37700000000001</v>
      </c>
      <c r="E15" s="158" t="s">
        <v>58</v>
      </c>
      <c r="F15" s="152">
        <f>K8</f>
        <v>120.792</v>
      </c>
      <c r="G15" s="242">
        <f>K7</f>
        <v>352.85199999999998</v>
      </c>
      <c r="I15" s="113" t="s">
        <v>321</v>
      </c>
      <c r="J15" s="77">
        <f>totalSprungWeight_N / 9.8 * 0.25</f>
        <v>51.06376854253125</v>
      </c>
      <c r="K15" s="116" t="s">
        <v>321</v>
      </c>
      <c r="L15" s="76">
        <f>totalSprungWeight_N/ 9.8 * 0.25</f>
        <v>51.06376854253125</v>
      </c>
      <c r="M15" s="112" t="s">
        <v>315</v>
      </c>
      <c r="N15" s="121">
        <f>2.654 * 0.0254</f>
        <v>6.7411599999999988E-2</v>
      </c>
      <c r="O15" s="170" t="s">
        <v>317</v>
      </c>
      <c r="P15" s="121">
        <f>2.324 * 0.0254</f>
        <v>5.9029599999999995E-2</v>
      </c>
      <c r="Q15" s="112" t="s">
        <v>233</v>
      </c>
      <c r="R15" s="121">
        <v>95</v>
      </c>
      <c r="S15" s="2" t="s">
        <v>234</v>
      </c>
      <c r="T15" s="121">
        <v>88.721000000000004</v>
      </c>
    </row>
    <row r="16" spans="2:20" x14ac:dyDescent="0.2">
      <c r="B16" s="241" t="s">
        <v>52</v>
      </c>
      <c r="C16" s="151">
        <f>D7</f>
        <v>39.601999999999997</v>
      </c>
      <c r="D16" s="156">
        <f>D8</f>
        <v>515.75300000000004</v>
      </c>
      <c r="E16" s="158" t="s">
        <v>59</v>
      </c>
      <c r="F16" s="152">
        <f>L5</f>
        <v>93.992000000000004</v>
      </c>
      <c r="G16" s="242">
        <f>L4</f>
        <v>413.18599999999998</v>
      </c>
      <c r="I16" s="113" t="s">
        <v>233</v>
      </c>
      <c r="J16" s="77">
        <v>54.692999999999998</v>
      </c>
      <c r="K16" s="116" t="s">
        <v>234</v>
      </c>
      <c r="L16" s="76">
        <v>49.746000000000002</v>
      </c>
      <c r="M16" s="112" t="s">
        <v>316</v>
      </c>
      <c r="N16" s="121">
        <f>1.685 * 0.0254</f>
        <v>4.2798999999999997E-2</v>
      </c>
      <c r="O16" s="170" t="s">
        <v>316</v>
      </c>
      <c r="P16" s="121">
        <f>1.209 * 0.0254</f>
        <v>3.0708599999999999E-2</v>
      </c>
      <c r="Q16" s="113" t="s">
        <v>238</v>
      </c>
      <c r="R16" s="121">
        <v>3</v>
      </c>
      <c r="S16" s="116" t="s">
        <v>241</v>
      </c>
      <c r="T16" s="121">
        <v>2.9929999999999999</v>
      </c>
    </row>
    <row r="17" spans="2:20" x14ac:dyDescent="0.2">
      <c r="B17" s="241" t="s">
        <v>49</v>
      </c>
      <c r="C17" s="151">
        <f>E4</f>
        <v>1183</v>
      </c>
      <c r="D17" s="156">
        <f>E6</f>
        <v>1204.9000000000001</v>
      </c>
      <c r="E17" s="158" t="s">
        <v>56</v>
      </c>
      <c r="F17" s="152">
        <f>M5</f>
        <v>1162</v>
      </c>
      <c r="G17" s="242">
        <f>M8</f>
        <v>530.76900000000001</v>
      </c>
      <c r="I17" s="114" t="s">
        <v>235</v>
      </c>
      <c r="J17" s="93">
        <f>(J14*J15*9.8)/(SIN(J16 * (PI()/180))) * 0.2248089439</f>
        <v>482.49715827785423</v>
      </c>
      <c r="K17" s="117" t="s">
        <v>236</v>
      </c>
      <c r="L17" s="110">
        <f>(L14*L15*9.8)/(SIN(L16 * (PI()/180))) * 0.2248089439</f>
        <v>515.92835791027699</v>
      </c>
      <c r="M17" s="112" t="s">
        <v>306</v>
      </c>
      <c r="N17" s="121">
        <v>91.254000000000005</v>
      </c>
      <c r="O17" s="170" t="s">
        <v>310</v>
      </c>
      <c r="P17" s="121">
        <v>78.418999999999997</v>
      </c>
      <c r="Q17" s="112" t="s">
        <v>295</v>
      </c>
      <c r="R17" s="121">
        <v>84.3</v>
      </c>
      <c r="S17" s="2" t="s">
        <v>297</v>
      </c>
      <c r="T17" s="121">
        <v>89.700999999999993</v>
      </c>
    </row>
    <row r="18" spans="2:20" x14ac:dyDescent="0.2">
      <c r="B18" s="241" t="s">
        <v>50</v>
      </c>
      <c r="C18" s="151">
        <f>F6</f>
        <v>1784.6</v>
      </c>
      <c r="D18" s="156">
        <f>F7</f>
        <v>502.1</v>
      </c>
      <c r="E18" s="158" t="s">
        <v>57</v>
      </c>
      <c r="F18" s="152">
        <f>N8</f>
        <v>536.47</v>
      </c>
      <c r="G18" s="242">
        <f>N5</f>
        <v>1031.0999999999999</v>
      </c>
      <c r="I18" s="112"/>
      <c r="J18" s="6"/>
      <c r="M18" s="112" t="s">
        <v>232</v>
      </c>
      <c r="N18" s="121">
        <f>cornerWeight_N / 9.8</f>
        <v>13.617004944674999</v>
      </c>
      <c r="O18" s="170" t="s">
        <v>232</v>
      </c>
      <c r="P18" s="121">
        <f>cornerWeight_N / 9.8</f>
        <v>13.617004944674999</v>
      </c>
      <c r="Q18" s="113" t="s">
        <v>239</v>
      </c>
      <c r="R18" s="121">
        <v>1.7729999999999999</v>
      </c>
      <c r="S18" s="116" t="s">
        <v>242</v>
      </c>
      <c r="T18" s="121">
        <v>1.276</v>
      </c>
    </row>
    <row r="19" spans="2:20" x14ac:dyDescent="0.2">
      <c r="B19" s="241" t="s">
        <v>53</v>
      </c>
      <c r="C19" s="172">
        <f>G7 + N20</f>
        <v>137.29744102064936</v>
      </c>
      <c r="D19" s="173">
        <f>G8 + N20</f>
        <v>620.57344102064928</v>
      </c>
      <c r="E19" s="158" t="s">
        <v>218</v>
      </c>
      <c r="F19" s="174">
        <f>O4 + P20</f>
        <v>459.68597350315952</v>
      </c>
      <c r="G19" s="243">
        <f>O5 + P20</f>
        <v>115.52197350315957</v>
      </c>
      <c r="I19" s="112"/>
      <c r="J19" s="6"/>
      <c r="M19" s="112" t="s">
        <v>313</v>
      </c>
      <c r="N19" s="121">
        <f>N14*9.8*N18</f>
        <v>253.54863206984851</v>
      </c>
      <c r="O19" s="170" t="s">
        <v>313</v>
      </c>
      <c r="P19" s="121">
        <f>P14*9.8*P18</f>
        <v>253.54863206984851</v>
      </c>
      <c r="Q19" s="112" t="s">
        <v>296</v>
      </c>
      <c r="R19" s="121">
        <v>65.242000000000004</v>
      </c>
      <c r="S19" s="2" t="s">
        <v>298</v>
      </c>
      <c r="T19" s="121">
        <v>70.432000000000002</v>
      </c>
    </row>
    <row r="20" spans="2:20" x14ac:dyDescent="0.2">
      <c r="B20" s="241" t="s">
        <v>54</v>
      </c>
      <c r="C20" s="172">
        <f>H9+J17</f>
        <v>848.80715827785423</v>
      </c>
      <c r="D20" s="175">
        <v>0</v>
      </c>
      <c r="E20" s="158" t="s">
        <v>60</v>
      </c>
      <c r="F20" s="174">
        <f>P9+L17</f>
        <v>963.93635791027691</v>
      </c>
      <c r="G20" s="244">
        <v>0</v>
      </c>
      <c r="H20" s="227"/>
      <c r="I20" s="112"/>
      <c r="J20" s="6"/>
      <c r="M20" s="114" t="s">
        <v>308</v>
      </c>
      <c r="N20" s="119">
        <f>(N19*N16)/(N15*SIN(N17 * (PI()/180))) * 0.2248089439</f>
        <v>36.197441020649357</v>
      </c>
      <c r="O20" s="228" t="s">
        <v>309</v>
      </c>
      <c r="P20" s="119">
        <f>(P19*P16)/(P15*SIN(P17 * (PI()/180))) * 0.2248089439</f>
        <v>30.268973503159568</v>
      </c>
      <c r="Q20" s="118" t="s">
        <v>243</v>
      </c>
      <c r="R20" s="123">
        <f>((C20*R14*SIN(R15*(PI()/180))+(N28*R18*SIN(R19*(PI()/180))))/(R16*SIN(R17*(PI()/180))))</f>
        <v>893.95149024171417</v>
      </c>
      <c r="S20" s="124" t="s">
        <v>244</v>
      </c>
      <c r="T20" s="123">
        <f>((F20*T14*SIN(T15*(PI()/180))+(P28*T18*SIN(T19*(PI()/180))))/(T16*SIN(T17*(PI()/180))))</f>
        <v>905.19844364732251</v>
      </c>
    </row>
    <row r="21" spans="2:20" ht="25" customHeight="1" x14ac:dyDescent="0.2">
      <c r="B21" s="241" t="s">
        <v>265</v>
      </c>
      <c r="C21" s="172">
        <f>R20</f>
        <v>893.95149024171417</v>
      </c>
      <c r="D21" s="175">
        <v>0</v>
      </c>
      <c r="E21" s="158" t="s">
        <v>266</v>
      </c>
      <c r="F21" s="174">
        <f>T20</f>
        <v>905.19844364732251</v>
      </c>
      <c r="G21" s="244">
        <v>0</v>
      </c>
      <c r="I21" s="483" t="s">
        <v>466</v>
      </c>
      <c r="J21" s="484"/>
      <c r="K21" s="484"/>
      <c r="L21" s="485"/>
      <c r="M21" s="525" t="s">
        <v>467</v>
      </c>
      <c r="N21" s="484"/>
      <c r="O21" s="484"/>
      <c r="P21" s="485"/>
      <c r="Q21" s="46"/>
      <c r="R21" s="46"/>
    </row>
    <row r="22" spans="2:20" ht="20" customHeight="1" x14ac:dyDescent="0.2">
      <c r="B22" s="497" t="s">
        <v>263</v>
      </c>
      <c r="C22" s="245" t="s">
        <v>471</v>
      </c>
      <c r="D22" s="246">
        <f>J28</f>
        <v>60.93430988906789</v>
      </c>
      <c r="E22" s="499" t="s">
        <v>264</v>
      </c>
      <c r="F22" s="247" t="s">
        <v>471</v>
      </c>
      <c r="G22" s="248">
        <f>L28</f>
        <v>65.868836356365975</v>
      </c>
      <c r="I22" s="486" t="s">
        <v>269</v>
      </c>
      <c r="J22" s="487"/>
      <c r="K22" s="488" t="s">
        <v>270</v>
      </c>
      <c r="L22" s="489"/>
      <c r="M22" s="495" t="s">
        <v>269</v>
      </c>
      <c r="N22" s="487"/>
      <c r="O22" s="488" t="s">
        <v>270</v>
      </c>
      <c r="P22" s="524"/>
    </row>
    <row r="23" spans="2:20" x14ac:dyDescent="0.2">
      <c r="B23" s="498"/>
      <c r="C23" s="249" t="s">
        <v>472</v>
      </c>
      <c r="D23" s="251">
        <f>N28</f>
        <v>134.41973911000031</v>
      </c>
      <c r="E23" s="500"/>
      <c r="F23" s="250" t="s">
        <v>472</v>
      </c>
      <c r="G23" s="252">
        <f>P28</f>
        <v>145.30519529344028</v>
      </c>
      <c r="I23" s="229" t="s">
        <v>271</v>
      </c>
      <c r="J23" s="125">
        <f>'Roll Rates'!N7</f>
        <v>1.0287060252892759</v>
      </c>
      <c r="K23" s="116" t="s">
        <v>272</v>
      </c>
      <c r="L23" s="230">
        <f>'Roll Rates'!P7</f>
        <v>1.9511060955182642</v>
      </c>
      <c r="M23" s="111" t="s">
        <v>271</v>
      </c>
      <c r="N23" s="125">
        <f>'Roll Rates'!N8</f>
        <v>1.7830235704553834</v>
      </c>
      <c r="O23" s="116" t="s">
        <v>272</v>
      </c>
      <c r="P23" s="231">
        <f>'Roll Rates'!P8</f>
        <v>3.3817903961337907</v>
      </c>
    </row>
    <row r="24" spans="2:20" x14ac:dyDescent="0.2">
      <c r="I24" s="7" t="s">
        <v>277</v>
      </c>
      <c r="J24" s="121">
        <f>MR_ARB_front</f>
        <v>0.114</v>
      </c>
      <c r="K24" s="2" t="s">
        <v>278</v>
      </c>
      <c r="L24" s="76">
        <f>MR_ARB_rear</f>
        <v>0.157</v>
      </c>
      <c r="M24" s="112" t="s">
        <v>277</v>
      </c>
      <c r="N24" s="121">
        <f>MR_ARB_front</f>
        <v>0.114</v>
      </c>
      <c r="O24" s="2" t="s">
        <v>278</v>
      </c>
      <c r="P24" s="77">
        <f>MR_ARB_rear</f>
        <v>0.157</v>
      </c>
    </row>
    <row r="25" spans="2:20" x14ac:dyDescent="0.2">
      <c r="I25" s="7" t="s">
        <v>468</v>
      </c>
      <c r="J25" s="121">
        <f>rollGrad_min * a_y</f>
        <v>1.2649999999999999</v>
      </c>
      <c r="K25" s="2" t="s">
        <v>468</v>
      </c>
      <c r="L25" s="76">
        <f>rollGrad_min * a_y</f>
        <v>1.2649999999999999</v>
      </c>
      <c r="M25" s="112" t="s">
        <v>287</v>
      </c>
      <c r="N25" s="121">
        <f>rollGrad_max * a_y</f>
        <v>1.6099999999999999</v>
      </c>
      <c r="O25" s="2" t="s">
        <v>287</v>
      </c>
      <c r="P25" s="77">
        <f>rollGrad_max * a_y</f>
        <v>1.6099999999999999</v>
      </c>
    </row>
    <row r="26" spans="2:20" x14ac:dyDescent="0.2">
      <c r="I26" s="232" t="s">
        <v>273</v>
      </c>
      <c r="J26" s="120">
        <f>J25/J24</f>
        <v>11.096491228070175</v>
      </c>
      <c r="K26" s="116" t="s">
        <v>274</v>
      </c>
      <c r="L26" s="230">
        <f>L25/L24</f>
        <v>8.0573248407643305</v>
      </c>
      <c r="M26" s="113" t="s">
        <v>273</v>
      </c>
      <c r="N26" s="120">
        <f>N25/N24</f>
        <v>14.122807017543858</v>
      </c>
      <c r="O26" s="116" t="s">
        <v>274</v>
      </c>
      <c r="P26" s="231">
        <f>P25/P24</f>
        <v>10.254777070063694</v>
      </c>
    </row>
    <row r="27" spans="2:20" x14ac:dyDescent="0.2">
      <c r="I27" s="7" t="s">
        <v>469</v>
      </c>
      <c r="J27" s="121">
        <f>2.248/12</f>
        <v>0.18733333333333335</v>
      </c>
      <c r="K27" s="2" t="s">
        <v>470</v>
      </c>
      <c r="L27" s="76">
        <f>2.864/12</f>
        <v>0.23866666666666667</v>
      </c>
      <c r="M27" s="112" t="s">
        <v>469</v>
      </c>
      <c r="N27" s="121">
        <f>2.248/12</f>
        <v>0.18733333333333335</v>
      </c>
      <c r="O27" s="2" t="s">
        <v>470</v>
      </c>
      <c r="P27" s="77">
        <f>2.864/12</f>
        <v>0.23866666666666667</v>
      </c>
    </row>
    <row r="28" spans="2:20" x14ac:dyDescent="0.2">
      <c r="I28" s="233" t="s">
        <v>275</v>
      </c>
      <c r="J28" s="234">
        <f>(J23*J26)/J27</f>
        <v>60.93430988906789</v>
      </c>
      <c r="K28" s="235" t="s">
        <v>276</v>
      </c>
      <c r="L28" s="236">
        <f>(L23*L26)/L27</f>
        <v>65.868836356365975</v>
      </c>
      <c r="M28" s="237" t="s">
        <v>275</v>
      </c>
      <c r="N28" s="234">
        <f>(N23*N26)/N27</f>
        <v>134.41973911000031</v>
      </c>
      <c r="O28" s="235" t="s">
        <v>276</v>
      </c>
      <c r="P28" s="238">
        <f>(P23*P26)/P27</f>
        <v>145.30519529344028</v>
      </c>
    </row>
  </sheetData>
  <mergeCells count="25">
    <mergeCell ref="B22:B23"/>
    <mergeCell ref="E22:E23"/>
    <mergeCell ref="S10:T10"/>
    <mergeCell ref="S9:T9"/>
    <mergeCell ref="B2:T2"/>
    <mergeCell ref="S4:T8"/>
    <mergeCell ref="S3:T3"/>
    <mergeCell ref="S13:T13"/>
    <mergeCell ref="Q12:T12"/>
    <mergeCell ref="E13:G13"/>
    <mergeCell ref="B12:G12"/>
    <mergeCell ref="B13:D13"/>
    <mergeCell ref="M22:N22"/>
    <mergeCell ref="O22:P22"/>
    <mergeCell ref="Q13:R13"/>
    <mergeCell ref="M21:P21"/>
    <mergeCell ref="I21:L21"/>
    <mergeCell ref="I22:J22"/>
    <mergeCell ref="K22:L22"/>
    <mergeCell ref="K13:L13"/>
    <mergeCell ref="M12:P12"/>
    <mergeCell ref="M13:N13"/>
    <mergeCell ref="O13:P13"/>
    <mergeCell ref="I12:L12"/>
    <mergeCell ref="I13:J13"/>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D097-8465-2E4D-967E-4000B0BEBB99}">
  <dimension ref="B2:N48"/>
  <sheetViews>
    <sheetView zoomScale="98" zoomScaleNormal="98" workbookViewId="0"/>
  </sheetViews>
  <sheetFormatPr baseColWidth="10" defaultRowHeight="16" x14ac:dyDescent="0.2"/>
  <cols>
    <col min="1" max="1" width="2.6640625" customWidth="1"/>
    <col min="2" max="2" width="25.83203125" bestFit="1" customWidth="1"/>
    <col min="5" max="5" width="10.83203125" customWidth="1"/>
    <col min="6" max="6" width="11" bestFit="1" customWidth="1"/>
    <col min="8" max="8" width="55.83203125" customWidth="1"/>
    <col min="12" max="12" width="55.83203125" customWidth="1"/>
  </cols>
  <sheetData>
    <row r="2" spans="2:14" ht="25" customHeight="1" x14ac:dyDescent="0.2">
      <c r="B2" s="536" t="s">
        <v>173</v>
      </c>
      <c r="C2" s="537"/>
      <c r="D2" s="537"/>
      <c r="E2" s="537"/>
      <c r="F2" s="537"/>
      <c r="G2" s="537"/>
      <c r="H2" s="537"/>
      <c r="I2" s="537"/>
      <c r="J2" s="537"/>
      <c r="K2" s="537"/>
      <c r="L2" s="537"/>
      <c r="M2" s="537"/>
      <c r="N2" s="538"/>
    </row>
    <row r="4" spans="2:14" ht="25" customHeight="1" x14ac:dyDescent="0.2">
      <c r="B4" s="526" t="s">
        <v>166</v>
      </c>
      <c r="C4" s="527"/>
      <c r="D4" s="527"/>
      <c r="E4" s="527"/>
      <c r="F4" s="528"/>
      <c r="H4" s="536" t="s">
        <v>353</v>
      </c>
      <c r="I4" s="537"/>
      <c r="J4" s="538"/>
      <c r="L4" s="526" t="s">
        <v>354</v>
      </c>
      <c r="M4" s="527"/>
      <c r="N4" s="528"/>
    </row>
    <row r="5" spans="2:14" x14ac:dyDescent="0.2">
      <c r="B5" s="21" t="s">
        <v>1</v>
      </c>
      <c r="C5">
        <f>wheelbase_in</f>
        <v>61</v>
      </c>
      <c r="D5" s="22" t="s">
        <v>73</v>
      </c>
      <c r="E5" s="543" t="s">
        <v>255</v>
      </c>
      <c r="F5" s="544"/>
      <c r="H5" s="82" t="s">
        <v>256</v>
      </c>
      <c r="I5" s="83" t="s">
        <v>257</v>
      </c>
      <c r="J5" s="84" t="s">
        <v>258</v>
      </c>
      <c r="L5" s="82" t="s">
        <v>256</v>
      </c>
      <c r="M5" s="83" t="s">
        <v>257</v>
      </c>
      <c r="N5" s="84" t="s">
        <v>258</v>
      </c>
    </row>
    <row r="6" spans="2:14" x14ac:dyDescent="0.2">
      <c r="B6" s="21" t="s">
        <v>148</v>
      </c>
      <c r="C6">
        <f>trackwidth_front_in</f>
        <v>44</v>
      </c>
      <c r="D6" s="22" t="s">
        <v>73</v>
      </c>
      <c r="E6" s="531" t="s">
        <v>254</v>
      </c>
      <c r="F6" s="532"/>
      <c r="H6" s="21"/>
      <c r="J6" s="22"/>
      <c r="L6" s="21"/>
      <c r="N6" s="22"/>
    </row>
    <row r="7" spans="2:14" x14ac:dyDescent="0.2">
      <c r="B7" s="21" t="s">
        <v>149</v>
      </c>
      <c r="C7">
        <f>trackwidth_rear_in</f>
        <v>44</v>
      </c>
      <c r="D7" s="22" t="s">
        <v>73</v>
      </c>
      <c r="E7" s="531" t="s">
        <v>254</v>
      </c>
      <c r="F7" s="532"/>
      <c r="H7" s="21"/>
      <c r="J7" s="22"/>
      <c r="L7" s="21"/>
      <c r="N7" s="22"/>
    </row>
    <row r="8" spans="2:14" x14ac:dyDescent="0.2">
      <c r="B8" s="21" t="s">
        <v>2</v>
      </c>
      <c r="C8">
        <f>rideHeight_in</f>
        <v>1.5</v>
      </c>
      <c r="D8" s="22" t="s">
        <v>73</v>
      </c>
      <c r="E8" s="531" t="s">
        <v>253</v>
      </c>
      <c r="F8" s="532"/>
      <c r="H8" s="21"/>
      <c r="J8" s="22"/>
      <c r="L8" s="21"/>
      <c r="N8" s="22"/>
    </row>
    <row r="9" spans="2:14" x14ac:dyDescent="0.2">
      <c r="B9" s="23" t="s">
        <v>245</v>
      </c>
      <c r="C9" s="24">
        <f>cg_in</f>
        <v>9.875</v>
      </c>
      <c r="D9" s="25" t="s">
        <v>73</v>
      </c>
      <c r="E9" s="533" t="s">
        <v>252</v>
      </c>
      <c r="F9" s="534"/>
      <c r="H9" s="21"/>
      <c r="J9" s="22"/>
      <c r="L9" s="21"/>
      <c r="N9" s="22"/>
    </row>
    <row r="10" spans="2:14" x14ac:dyDescent="0.2">
      <c r="H10" s="21"/>
      <c r="J10" s="22"/>
      <c r="L10" s="21"/>
      <c r="N10" s="22"/>
    </row>
    <row r="11" spans="2:14" ht="25" customHeight="1" x14ac:dyDescent="0.2">
      <c r="B11" s="526" t="s">
        <v>167</v>
      </c>
      <c r="C11" s="527"/>
      <c r="D11" s="527"/>
      <c r="E11" s="527"/>
      <c r="F11" s="528"/>
      <c r="H11" s="21"/>
      <c r="J11" s="22"/>
      <c r="L11" s="21"/>
      <c r="N11" s="22"/>
    </row>
    <row r="12" spans="2:14" x14ac:dyDescent="0.2">
      <c r="B12" s="61"/>
      <c r="C12" s="529" t="s">
        <v>158</v>
      </c>
      <c r="D12" s="535"/>
      <c r="E12" s="529" t="s">
        <v>159</v>
      </c>
      <c r="F12" s="530"/>
      <c r="H12" s="21"/>
      <c r="J12" s="22"/>
      <c r="L12" s="21"/>
      <c r="N12" s="22"/>
    </row>
    <row r="13" spans="2:14" x14ac:dyDescent="0.2">
      <c r="B13" s="63" t="s">
        <v>156</v>
      </c>
      <c r="C13" s="58">
        <v>4.45</v>
      </c>
      <c r="D13" s="58" t="s">
        <v>79</v>
      </c>
      <c r="E13" s="64">
        <v>4.96</v>
      </c>
      <c r="F13" s="65" t="s">
        <v>79</v>
      </c>
      <c r="H13" s="21"/>
      <c r="J13" s="22"/>
      <c r="L13" s="21"/>
      <c r="N13" s="22"/>
    </row>
    <row r="14" spans="2:14" x14ac:dyDescent="0.2">
      <c r="B14" s="63" t="s">
        <v>157</v>
      </c>
      <c r="C14" s="58">
        <v>13.95</v>
      </c>
      <c r="D14" s="58" t="s">
        <v>79</v>
      </c>
      <c r="E14" s="64">
        <v>20.97</v>
      </c>
      <c r="F14" s="65" t="s">
        <v>79</v>
      </c>
      <c r="H14" s="21"/>
      <c r="J14" s="22"/>
      <c r="L14" s="21"/>
      <c r="N14" s="22"/>
    </row>
    <row r="15" spans="2:14" x14ac:dyDescent="0.2">
      <c r="B15" s="63" t="s">
        <v>154</v>
      </c>
      <c r="C15" s="58">
        <v>0.25</v>
      </c>
      <c r="D15" s="58" t="s">
        <v>73</v>
      </c>
      <c r="E15" s="64">
        <v>0.99</v>
      </c>
      <c r="F15" s="65" t="s">
        <v>73</v>
      </c>
      <c r="H15" s="21"/>
      <c r="J15" s="22"/>
      <c r="L15" s="21"/>
      <c r="N15" s="22"/>
    </row>
    <row r="16" spans="2:14" x14ac:dyDescent="0.2">
      <c r="B16" s="63" t="s">
        <v>190</v>
      </c>
      <c r="C16" s="58">
        <v>0.43</v>
      </c>
      <c r="D16" s="58" t="s">
        <v>73</v>
      </c>
      <c r="E16" s="64">
        <v>0.04</v>
      </c>
      <c r="F16" s="65" t="s">
        <v>73</v>
      </c>
      <c r="H16" s="21"/>
      <c r="J16" s="22"/>
      <c r="L16" s="21"/>
      <c r="N16" s="22"/>
    </row>
    <row r="17" spans="2:14" x14ac:dyDescent="0.2">
      <c r="B17" s="62" t="s">
        <v>152</v>
      </c>
      <c r="C17" s="60">
        <v>2.21</v>
      </c>
      <c r="D17" s="60" t="s">
        <v>73</v>
      </c>
      <c r="E17" s="24" t="s">
        <v>77</v>
      </c>
      <c r="F17" s="25" t="s">
        <v>77</v>
      </c>
      <c r="H17" s="21"/>
      <c r="J17" s="22"/>
      <c r="L17" s="21"/>
      <c r="N17" s="22"/>
    </row>
    <row r="18" spans="2:14" x14ac:dyDescent="0.2">
      <c r="H18" s="21"/>
      <c r="J18" s="22"/>
      <c r="L18" s="21"/>
      <c r="N18" s="22"/>
    </row>
    <row r="19" spans="2:14" ht="25" customHeight="1" x14ac:dyDescent="0.2">
      <c r="B19" s="526" t="s">
        <v>168</v>
      </c>
      <c r="C19" s="527"/>
      <c r="D19" s="527"/>
      <c r="E19" s="527"/>
      <c r="F19" s="528"/>
      <c r="H19" s="21"/>
      <c r="J19" s="22"/>
      <c r="L19" s="21"/>
      <c r="N19" s="22"/>
    </row>
    <row r="20" spans="2:14" x14ac:dyDescent="0.2">
      <c r="B20" s="89"/>
      <c r="C20" s="539" t="s">
        <v>259</v>
      </c>
      <c r="D20" s="539"/>
      <c r="E20" s="539" t="s">
        <v>260</v>
      </c>
      <c r="F20" s="540"/>
      <c r="H20" s="21"/>
      <c r="J20" s="22"/>
      <c r="L20" s="21"/>
      <c r="N20" s="22"/>
    </row>
    <row r="21" spans="2:14" x14ac:dyDescent="0.2">
      <c r="B21" s="86" t="s">
        <v>154</v>
      </c>
      <c r="C21" s="87">
        <v>9.9000000000000005E-2</v>
      </c>
      <c r="D21" s="90" t="s">
        <v>73</v>
      </c>
      <c r="E21" s="88">
        <f>CONVERT(C21,D21,F21)</f>
        <v>2.5146000000000001E-3</v>
      </c>
      <c r="F21" s="22" t="s">
        <v>74</v>
      </c>
      <c r="H21" s="21"/>
      <c r="J21" s="22"/>
      <c r="L21" s="21"/>
      <c r="N21" s="22"/>
    </row>
    <row r="22" spans="2:14" x14ac:dyDescent="0.2">
      <c r="B22" s="63" t="s">
        <v>516</v>
      </c>
      <c r="C22" s="291">
        <f>'Load Transfer'!C31</f>
        <v>362.1008522731936</v>
      </c>
      <c r="D22" s="64" t="s">
        <v>75</v>
      </c>
      <c r="E22" s="88">
        <f>CONVERT(C22,D22,F22)</f>
        <v>1610.7048379858691</v>
      </c>
      <c r="F22" s="22" t="s">
        <v>76</v>
      </c>
      <c r="H22" s="21"/>
      <c r="J22" s="22"/>
      <c r="K22" s="71"/>
      <c r="L22" s="21"/>
      <c r="N22" s="22"/>
    </row>
    <row r="23" spans="2:14" x14ac:dyDescent="0.2">
      <c r="B23" s="63" t="s">
        <v>219</v>
      </c>
      <c r="C23" s="59">
        <v>4</v>
      </c>
      <c r="D23" s="64" t="s">
        <v>73</v>
      </c>
      <c r="E23" s="88">
        <f>CONVERT(C23,D23,F23)</f>
        <v>0.1016</v>
      </c>
      <c r="F23" s="22" t="s">
        <v>74</v>
      </c>
      <c r="H23" s="21"/>
      <c r="J23" s="22"/>
      <c r="L23" s="85"/>
      <c r="N23" s="22"/>
    </row>
    <row r="24" spans="2:14" x14ac:dyDescent="0.2">
      <c r="B24" s="63" t="s">
        <v>152</v>
      </c>
      <c r="C24" s="59">
        <v>3.12</v>
      </c>
      <c r="D24" s="64" t="s">
        <v>73</v>
      </c>
      <c r="E24" s="88">
        <f t="shared" ref="E24" si="0">CONVERT(C24,D24,F24)</f>
        <v>7.9247999999999999E-2</v>
      </c>
      <c r="F24" s="22" t="s">
        <v>74</v>
      </c>
      <c r="H24" s="21"/>
      <c r="J24" s="22"/>
      <c r="L24" s="21"/>
      <c r="N24" s="22"/>
    </row>
    <row r="25" spans="2:14" x14ac:dyDescent="0.2">
      <c r="B25" s="72" t="s">
        <v>155</v>
      </c>
      <c r="C25" s="292">
        <f>(C21*(C22)*C23)/C24</f>
        <v>45.958954326982266</v>
      </c>
      <c r="D25" s="91" t="s">
        <v>220</v>
      </c>
      <c r="E25" s="74">
        <f>(E21*(E22)*E23)/E24</f>
        <v>5.1926645969221372</v>
      </c>
      <c r="F25" s="73" t="s">
        <v>160</v>
      </c>
      <c r="H25" s="21"/>
      <c r="J25" s="22"/>
      <c r="L25" s="21"/>
      <c r="N25" s="22"/>
    </row>
    <row r="26" spans="2:14" x14ac:dyDescent="0.2">
      <c r="H26" s="21"/>
      <c r="J26" s="22"/>
      <c r="L26" s="21"/>
      <c r="N26" s="22"/>
    </row>
    <row r="27" spans="2:14" ht="25" customHeight="1" x14ac:dyDescent="0.2">
      <c r="B27" s="526" t="s">
        <v>169</v>
      </c>
      <c r="C27" s="527"/>
      <c r="D27" s="527"/>
      <c r="E27" s="527"/>
      <c r="F27" s="528"/>
      <c r="H27" s="21"/>
      <c r="J27" s="22"/>
      <c r="L27" s="21"/>
      <c r="N27" s="22"/>
    </row>
    <row r="28" spans="2:14" x14ac:dyDescent="0.2">
      <c r="B28" s="23" t="s">
        <v>153</v>
      </c>
      <c r="C28" s="24">
        <v>12</v>
      </c>
      <c r="D28" s="25" t="s">
        <v>78</v>
      </c>
      <c r="E28" s="545" t="s">
        <v>250</v>
      </c>
      <c r="F28" s="546"/>
      <c r="H28" s="21"/>
      <c r="J28" s="22"/>
      <c r="L28" s="21"/>
      <c r="N28" s="22"/>
    </row>
    <row r="29" spans="2:14" x14ac:dyDescent="0.2">
      <c r="H29" s="21"/>
      <c r="J29" s="22"/>
      <c r="L29" s="21"/>
      <c r="N29" s="22"/>
    </row>
    <row r="30" spans="2:14" ht="25" customHeight="1" x14ac:dyDescent="0.2">
      <c r="B30" s="526" t="s">
        <v>170</v>
      </c>
      <c r="C30" s="527"/>
      <c r="D30" s="527"/>
      <c r="E30" s="527"/>
      <c r="F30" s="528"/>
      <c r="H30" s="21"/>
      <c r="J30" s="22"/>
      <c r="L30" s="21"/>
      <c r="N30" s="22"/>
    </row>
    <row r="31" spans="2:14" x14ac:dyDescent="0.2">
      <c r="B31" s="21"/>
      <c r="C31" s="529" t="s">
        <v>158</v>
      </c>
      <c r="D31" s="529"/>
      <c r="E31" s="529" t="s">
        <v>159</v>
      </c>
      <c r="F31" s="530"/>
      <c r="H31" s="21"/>
      <c r="J31" s="22"/>
      <c r="L31" s="21"/>
      <c r="N31" s="22"/>
    </row>
    <row r="32" spans="2:14" x14ac:dyDescent="0.2">
      <c r="B32" s="21" t="s">
        <v>161</v>
      </c>
      <c r="D32" t="s">
        <v>73</v>
      </c>
      <c r="F32" s="26" t="s">
        <v>73</v>
      </c>
      <c r="H32" s="21"/>
      <c r="J32" s="22"/>
      <c r="L32" s="21"/>
      <c r="N32" s="22"/>
    </row>
    <row r="33" spans="2:14" x14ac:dyDescent="0.2">
      <c r="B33" s="21" t="s">
        <v>162</v>
      </c>
      <c r="D33" t="s">
        <v>164</v>
      </c>
      <c r="F33" s="26" t="s">
        <v>164</v>
      </c>
      <c r="H33" s="21"/>
      <c r="J33" s="22"/>
      <c r="L33" s="21"/>
      <c r="N33" s="22"/>
    </row>
    <row r="34" spans="2:14" x14ac:dyDescent="0.2">
      <c r="B34" s="23" t="s">
        <v>163</v>
      </c>
      <c r="C34" s="24"/>
      <c r="D34" s="24" t="s">
        <v>165</v>
      </c>
      <c r="E34" s="24"/>
      <c r="F34" s="27" t="s">
        <v>165</v>
      </c>
      <c r="H34" s="21"/>
      <c r="J34" s="22"/>
      <c r="L34" s="21"/>
      <c r="N34" s="22"/>
    </row>
    <row r="35" spans="2:14" x14ac:dyDescent="0.2">
      <c r="H35" s="21"/>
      <c r="J35" s="22"/>
      <c r="L35" s="21"/>
      <c r="N35" s="22"/>
    </row>
    <row r="36" spans="2:14" ht="25" customHeight="1" x14ac:dyDescent="0.2">
      <c r="B36" s="526" t="s">
        <v>246</v>
      </c>
      <c r="C36" s="527"/>
      <c r="D36" s="527"/>
      <c r="E36" s="527"/>
      <c r="F36" s="528"/>
      <c r="H36" s="21"/>
      <c r="J36" s="22"/>
      <c r="L36" s="21"/>
      <c r="N36" s="22"/>
    </row>
    <row r="37" spans="2:14" x14ac:dyDescent="0.2">
      <c r="B37" s="21"/>
      <c r="C37" s="529" t="s">
        <v>158</v>
      </c>
      <c r="D37" s="529"/>
      <c r="E37" s="529" t="s">
        <v>159</v>
      </c>
      <c r="F37" s="530"/>
      <c r="H37" s="21"/>
      <c r="J37" s="22"/>
      <c r="L37" s="21"/>
      <c r="N37" s="22"/>
    </row>
    <row r="38" spans="2:14" x14ac:dyDescent="0.2">
      <c r="B38" s="21" t="s">
        <v>247</v>
      </c>
      <c r="D38" t="s">
        <v>164</v>
      </c>
      <c r="F38" s="26" t="s">
        <v>164</v>
      </c>
      <c r="H38" s="21"/>
      <c r="J38" s="22"/>
      <c r="L38" s="21"/>
      <c r="N38" s="22"/>
    </row>
    <row r="39" spans="2:14" x14ac:dyDescent="0.2">
      <c r="B39" s="21" t="s">
        <v>248</v>
      </c>
      <c r="D39" t="s">
        <v>164</v>
      </c>
      <c r="F39" s="26" t="s">
        <v>164</v>
      </c>
      <c r="H39" s="21"/>
      <c r="J39" s="22"/>
      <c r="L39" s="21"/>
      <c r="N39" s="22"/>
    </row>
    <row r="40" spans="2:14" x14ac:dyDescent="0.2">
      <c r="B40" s="23" t="s">
        <v>249</v>
      </c>
      <c r="C40" s="24"/>
      <c r="D40" s="24" t="s">
        <v>165</v>
      </c>
      <c r="E40" s="24"/>
      <c r="F40" s="27" t="s">
        <v>165</v>
      </c>
      <c r="H40" s="21"/>
      <c r="J40" s="22"/>
      <c r="L40" s="21"/>
      <c r="N40" s="22"/>
    </row>
    <row r="41" spans="2:14" x14ac:dyDescent="0.2">
      <c r="H41" s="21"/>
      <c r="J41" s="22"/>
      <c r="L41" s="21"/>
      <c r="N41" s="22"/>
    </row>
    <row r="42" spans="2:14" ht="25" customHeight="1" x14ac:dyDescent="0.2">
      <c r="B42" s="536" t="s">
        <v>171</v>
      </c>
      <c r="C42" s="537"/>
      <c r="D42" s="537"/>
      <c r="E42" s="537"/>
      <c r="F42" s="538"/>
      <c r="H42" s="21"/>
      <c r="J42" s="22"/>
      <c r="L42" s="21"/>
      <c r="N42" s="22"/>
    </row>
    <row r="43" spans="2:14" x14ac:dyDescent="0.2">
      <c r="B43" s="79"/>
      <c r="C43" s="541" t="s">
        <v>158</v>
      </c>
      <c r="D43" s="541"/>
      <c r="E43" s="541" t="s">
        <v>159</v>
      </c>
      <c r="F43" s="542"/>
      <c r="H43" s="21"/>
      <c r="J43" s="22"/>
      <c r="L43" s="21"/>
      <c r="N43" s="22"/>
    </row>
    <row r="44" spans="2:14" x14ac:dyDescent="0.2">
      <c r="B44" s="78" t="s">
        <v>251</v>
      </c>
      <c r="C44" s="80">
        <f>'Parameters and Rates'!D9</f>
        <v>2.8959999999999999</v>
      </c>
      <c r="D44" s="80" t="s">
        <v>73</v>
      </c>
      <c r="E44" s="80">
        <f>'Parameters and Rates'!D10</f>
        <v>3.786</v>
      </c>
      <c r="F44" s="81" t="s">
        <v>73</v>
      </c>
      <c r="H44" s="21"/>
      <c r="J44" s="22"/>
      <c r="L44" s="21"/>
      <c r="N44" s="22"/>
    </row>
    <row r="45" spans="2:14" x14ac:dyDescent="0.2">
      <c r="H45" s="21"/>
      <c r="J45" s="22"/>
      <c r="L45" s="21"/>
      <c r="N45" s="22"/>
    </row>
    <row r="46" spans="2:14" ht="25" customHeight="1" x14ac:dyDescent="0.2">
      <c r="B46" s="536" t="s">
        <v>172</v>
      </c>
      <c r="C46" s="537"/>
      <c r="D46" s="537"/>
      <c r="E46" s="537"/>
      <c r="F46" s="538"/>
      <c r="H46" s="21"/>
      <c r="J46" s="22"/>
      <c r="L46" s="21"/>
      <c r="N46" s="22"/>
    </row>
    <row r="47" spans="2:14" x14ac:dyDescent="0.2">
      <c r="B47" s="21" t="s">
        <v>20</v>
      </c>
      <c r="C47">
        <v>25</v>
      </c>
      <c r="D47" s="22" t="s">
        <v>78</v>
      </c>
      <c r="E47" s="543" t="s">
        <v>250</v>
      </c>
      <c r="F47" s="544"/>
      <c r="H47" s="21"/>
      <c r="J47" s="22"/>
      <c r="L47" s="21"/>
      <c r="N47" s="22"/>
    </row>
    <row r="48" spans="2:14" x14ac:dyDescent="0.2">
      <c r="B48" s="23" t="s">
        <v>21</v>
      </c>
      <c r="C48" s="24">
        <v>15</v>
      </c>
      <c r="D48" s="25" t="s">
        <v>78</v>
      </c>
      <c r="E48" s="533" t="s">
        <v>250</v>
      </c>
      <c r="F48" s="534"/>
      <c r="H48" s="23"/>
      <c r="I48" s="24"/>
      <c r="J48" s="25"/>
      <c r="L48" s="23"/>
      <c r="M48" s="24"/>
      <c r="N48" s="25"/>
    </row>
  </sheetData>
  <mergeCells count="29">
    <mergeCell ref="E48:F48"/>
    <mergeCell ref="H4:J4"/>
    <mergeCell ref="L4:N4"/>
    <mergeCell ref="B2:N2"/>
    <mergeCell ref="C20:D20"/>
    <mergeCell ref="E20:F20"/>
    <mergeCell ref="B42:F42"/>
    <mergeCell ref="C43:D43"/>
    <mergeCell ref="E43:F43"/>
    <mergeCell ref="B46:F46"/>
    <mergeCell ref="E47:F47"/>
    <mergeCell ref="E28:F28"/>
    <mergeCell ref="B4:F4"/>
    <mergeCell ref="E5:F5"/>
    <mergeCell ref="E6:F6"/>
    <mergeCell ref="E7:F7"/>
    <mergeCell ref="B36:F36"/>
    <mergeCell ref="C37:D37"/>
    <mergeCell ref="E37:F37"/>
    <mergeCell ref="B27:F27"/>
    <mergeCell ref="E8:F8"/>
    <mergeCell ref="E9:F9"/>
    <mergeCell ref="C12:D12"/>
    <mergeCell ref="E12:F12"/>
    <mergeCell ref="C31:D31"/>
    <mergeCell ref="E31:F31"/>
    <mergeCell ref="B11:F11"/>
    <mergeCell ref="B30:F30"/>
    <mergeCell ref="B19:F19"/>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246F-5D78-664D-9F72-54D34F3C6150}">
  <dimension ref="B2:P38"/>
  <sheetViews>
    <sheetView zoomScale="103" zoomScaleNormal="103" workbookViewId="0"/>
  </sheetViews>
  <sheetFormatPr baseColWidth="10" defaultRowHeight="16" x14ac:dyDescent="0.2"/>
  <cols>
    <col min="1" max="1" width="2.6640625" style="2" customWidth="1"/>
    <col min="2" max="2" width="14" style="1" bestFit="1" customWidth="1"/>
    <col min="3" max="3" width="31.6640625" style="2" customWidth="1"/>
    <col min="4" max="4" width="12.33203125" style="2" bestFit="1" customWidth="1"/>
    <col min="5" max="6" width="10.83203125" style="2" customWidth="1"/>
    <col min="7" max="12" width="10.83203125" style="2"/>
    <col min="13" max="16" width="13.83203125" style="2" customWidth="1"/>
    <col min="17" max="16384" width="10.83203125" style="2"/>
  </cols>
  <sheetData>
    <row r="2" spans="2:16" ht="25" customHeight="1" x14ac:dyDescent="0.2">
      <c r="B2" s="589" t="s">
        <v>206</v>
      </c>
      <c r="C2" s="590"/>
      <c r="D2" s="590"/>
      <c r="E2" s="590"/>
      <c r="F2" s="590"/>
      <c r="G2" s="590"/>
      <c r="H2" s="590"/>
      <c r="I2" s="590"/>
      <c r="J2" s="590"/>
      <c r="K2" s="591"/>
      <c r="L2" s="12"/>
      <c r="M2" s="581" t="s">
        <v>226</v>
      </c>
      <c r="N2" s="582"/>
      <c r="O2" s="582"/>
      <c r="P2" s="583"/>
    </row>
    <row r="3" spans="2:16" ht="20" customHeight="1" x14ac:dyDescent="0.2">
      <c r="B3" s="397" t="s">
        <v>176</v>
      </c>
      <c r="C3" s="3" t="s">
        <v>185</v>
      </c>
      <c r="D3" s="31">
        <f>F3*0.7375621493</f>
        <v>144.25673633111671</v>
      </c>
      <c r="E3" s="4" t="s">
        <v>86</v>
      </c>
      <c r="F3" s="35">
        <f>(trackwidth_front_m^2 * TAN(PI()/180) * wheelRate_front_SI)/2</f>
        <v>195.58587227940973</v>
      </c>
      <c r="G3" s="3" t="s">
        <v>87</v>
      </c>
      <c r="H3" s="592" t="s">
        <v>181</v>
      </c>
      <c r="I3" s="593"/>
      <c r="J3" s="593"/>
      <c r="K3" s="594"/>
      <c r="L3" s="12"/>
      <c r="M3" s="584" t="s">
        <v>288</v>
      </c>
      <c r="N3" s="585"/>
      <c r="O3" s="554" t="s">
        <v>290</v>
      </c>
      <c r="P3" s="555"/>
    </row>
    <row r="4" spans="2:16" x14ac:dyDescent="0.2">
      <c r="B4" s="547"/>
      <c r="C4" s="7" t="s">
        <v>186</v>
      </c>
      <c r="D4" s="29">
        <f>F4*0.7375621493</f>
        <v>176.96591181134684</v>
      </c>
      <c r="E4" s="6" t="s">
        <v>86</v>
      </c>
      <c r="F4" s="34">
        <f>(trackwidth_rear_m^2 * TAN(PI()/180) * wheelRate_rear_SI)/2</f>
        <v>239.9335594692601</v>
      </c>
      <c r="G4" s="6" t="s">
        <v>87</v>
      </c>
      <c r="H4" s="586" t="s">
        <v>182</v>
      </c>
      <c r="I4" s="587"/>
      <c r="J4" s="587"/>
      <c r="K4" s="588"/>
      <c r="M4" s="254" t="s">
        <v>145</v>
      </c>
      <c r="N4" s="265">
        <f>J25*0.7375621493</f>
        <v>79.155588280184347</v>
      </c>
      <c r="O4" s="96" t="s">
        <v>145</v>
      </c>
      <c r="P4" s="266">
        <f>J26*0.7375621493</f>
        <v>85.751887303533053</v>
      </c>
    </row>
    <row r="5" spans="2:16" x14ac:dyDescent="0.2">
      <c r="B5" s="547"/>
      <c r="C5" s="7" t="s">
        <v>558</v>
      </c>
      <c r="D5" s="76">
        <f>(totalSprungWeight_N * (cg_m - AVERAGE(rc_front_m, rc_rear_m)))/(F3+F4)</f>
        <v>0.76278868076227024</v>
      </c>
      <c r="E5" s="6" t="s">
        <v>80</v>
      </c>
      <c r="F5" s="7"/>
      <c r="G5" s="6"/>
      <c r="H5" s="586"/>
      <c r="I5" s="587"/>
      <c r="J5" s="587"/>
      <c r="K5" s="588"/>
      <c r="M5" s="264" t="s">
        <v>146</v>
      </c>
      <c r="N5" s="255">
        <f>H25*0.7375621493</f>
        <v>137.19787399625912</v>
      </c>
      <c r="O5" s="267" t="s">
        <v>146</v>
      </c>
      <c r="P5" s="97">
        <f>H26*0.7375621493</f>
        <v>148.63103016261405</v>
      </c>
    </row>
    <row r="6" spans="2:16" ht="20" customHeight="1" x14ac:dyDescent="0.2">
      <c r="B6" s="548"/>
      <c r="C6" s="2" t="s">
        <v>559</v>
      </c>
      <c r="D6" s="76">
        <f>(totalSprungWeight_N * (cg_m - AVERAGE(rc_front_m, rc_rear_m)))/(((trackwidth_front_m^2 * TAN(PI()/180) * ('Parameters and Rates'!M9/(MR_front^2)))/2)+((trackwidth_rear_m^2 * TAN(PI()/180) * ('Parameters and Rates'!M10/(MR_rear^2)))/2))</f>
        <v>0.76278868076227024</v>
      </c>
      <c r="E6" s="2" t="s">
        <v>80</v>
      </c>
      <c r="F6" s="7"/>
      <c r="H6" s="549" t="s">
        <v>560</v>
      </c>
      <c r="I6" s="550"/>
      <c r="J6" s="550"/>
      <c r="K6" s="551"/>
      <c r="M6" s="552" t="s">
        <v>289</v>
      </c>
      <c r="N6" s="553"/>
      <c r="O6" s="554" t="s">
        <v>291</v>
      </c>
      <c r="P6" s="555"/>
    </row>
    <row r="7" spans="2:16" x14ac:dyDescent="0.2">
      <c r="B7" s="397" t="s">
        <v>177</v>
      </c>
      <c r="C7" s="3" t="s">
        <v>187</v>
      </c>
      <c r="D7" s="31">
        <f>F7*0.7375621493</f>
        <v>1046.1751452754299</v>
      </c>
      <c r="E7" s="3" t="s">
        <v>86</v>
      </c>
      <c r="F7" s="35">
        <f>(trackwidth_front_m^2 * TAN(PI()/180) * tireRate_SI)/2</f>
        <v>1418.4230390189166</v>
      </c>
      <c r="G7" s="3" t="s">
        <v>87</v>
      </c>
      <c r="H7" s="592" t="s">
        <v>183</v>
      </c>
      <c r="I7" s="593"/>
      <c r="J7" s="593"/>
      <c r="K7" s="594"/>
      <c r="M7" s="100" t="s">
        <v>145</v>
      </c>
      <c r="N7" s="268">
        <f>J27*0.7375621493</f>
        <v>1.0287060252892759</v>
      </c>
      <c r="O7" s="99" t="s">
        <v>145</v>
      </c>
      <c r="P7" s="269">
        <f>J28*0.7375621493</f>
        <v>1.9511060955182642</v>
      </c>
    </row>
    <row r="8" spans="2:16" x14ac:dyDescent="0.2">
      <c r="B8" s="548"/>
      <c r="C8" s="10" t="s">
        <v>188</v>
      </c>
      <c r="D8" s="32">
        <f>F8*0.7375621493</f>
        <v>1046.1751452754299</v>
      </c>
      <c r="E8" s="8" t="s">
        <v>86</v>
      </c>
      <c r="F8" s="39">
        <f>(trackwidth_rear_m^2 * TAN(PI()/180) * tireRate_SI)/2</f>
        <v>1418.4230390189166</v>
      </c>
      <c r="G8" s="8" t="s">
        <v>87</v>
      </c>
      <c r="H8" s="549" t="s">
        <v>184</v>
      </c>
      <c r="I8" s="595"/>
      <c r="J8" s="595"/>
      <c r="K8" s="596"/>
      <c r="M8" s="264" t="s">
        <v>146</v>
      </c>
      <c r="N8" s="95">
        <f>H27*0.7375621493</f>
        <v>1.7830235704553834</v>
      </c>
      <c r="O8" s="274" t="s">
        <v>146</v>
      </c>
      <c r="P8" s="98">
        <f>H28*0.7375621493</f>
        <v>3.3817903961337907</v>
      </c>
    </row>
    <row r="9" spans="2:16" x14ac:dyDescent="0.2">
      <c r="B9" s="28" t="s">
        <v>178</v>
      </c>
      <c r="C9" s="10" t="s">
        <v>34</v>
      </c>
      <c r="D9" s="32">
        <f>((D3+D4)*(D7+D8))/(D3+D4+D7+D8)</f>
        <v>278.47109585852081</v>
      </c>
      <c r="E9" s="2" t="s">
        <v>86</v>
      </c>
      <c r="F9" s="39">
        <f>((F3+F4)*(F7+F8))/(F3+F4+F7+F8)</f>
        <v>377.55610984485861</v>
      </c>
      <c r="G9" s="8" t="s">
        <v>87</v>
      </c>
      <c r="H9" s="597"/>
      <c r="I9" s="598"/>
      <c r="J9" s="598"/>
      <c r="K9" s="599"/>
    </row>
    <row r="10" spans="2:16" ht="25" customHeight="1" x14ac:dyDescent="0.2">
      <c r="B10" s="397" t="s">
        <v>517</v>
      </c>
      <c r="C10" s="3" t="s">
        <v>197</v>
      </c>
      <c r="D10" s="3">
        <f t="shared" ref="D10:D17" si="0">F10*0.7375621493</f>
        <v>0</v>
      </c>
      <c r="E10" s="3" t="s">
        <v>86</v>
      </c>
      <c r="F10" s="36"/>
      <c r="G10" s="3" t="s">
        <v>87</v>
      </c>
      <c r="H10" s="592" t="s">
        <v>202</v>
      </c>
      <c r="I10" s="593"/>
      <c r="J10" s="593"/>
      <c r="K10" s="594"/>
      <c r="M10" s="405" t="s">
        <v>522</v>
      </c>
      <c r="N10" s="403"/>
      <c r="O10" s="403"/>
      <c r="P10" s="404"/>
    </row>
    <row r="11" spans="2:16" ht="20" customHeight="1" x14ac:dyDescent="0.2">
      <c r="B11" s="386"/>
      <c r="C11" s="7" t="s">
        <v>200</v>
      </c>
      <c r="D11" s="2">
        <f t="shared" si="0"/>
        <v>0</v>
      </c>
      <c r="E11" s="2" t="s">
        <v>86</v>
      </c>
      <c r="F11" s="37"/>
      <c r="G11" s="2" t="s">
        <v>87</v>
      </c>
      <c r="H11" s="586" t="s">
        <v>203</v>
      </c>
      <c r="I11" s="587"/>
      <c r="J11" s="587"/>
      <c r="K11" s="588"/>
      <c r="M11" s="398" t="s">
        <v>520</v>
      </c>
      <c r="N11" s="399"/>
      <c r="O11" s="406" t="s">
        <v>521</v>
      </c>
      <c r="P11" s="401"/>
    </row>
    <row r="12" spans="2:16" x14ac:dyDescent="0.2">
      <c r="B12" s="386"/>
      <c r="C12" s="2" t="s">
        <v>199</v>
      </c>
      <c r="D12" s="2">
        <f t="shared" si="0"/>
        <v>0</v>
      </c>
      <c r="E12" s="2" t="s">
        <v>86</v>
      </c>
      <c r="F12" s="37"/>
      <c r="G12" s="2" t="s">
        <v>87</v>
      </c>
      <c r="H12" s="586" t="s">
        <v>204</v>
      </c>
      <c r="I12" s="587"/>
      <c r="J12" s="587"/>
      <c r="K12" s="588"/>
      <c r="M12" s="256" t="s">
        <v>518</v>
      </c>
      <c r="N12" s="275">
        <f>'ARB Design'!H4</f>
        <v>61.866075255488504</v>
      </c>
      <c r="O12" s="258" t="s">
        <v>518</v>
      </c>
      <c r="P12" s="277">
        <f>'ARB Design'!J4</f>
        <v>83.833064450972643</v>
      </c>
    </row>
    <row r="13" spans="2:16" x14ac:dyDescent="0.2">
      <c r="B13" s="387"/>
      <c r="C13" s="2" t="s">
        <v>198</v>
      </c>
      <c r="D13" s="8">
        <f t="shared" si="0"/>
        <v>0</v>
      </c>
      <c r="E13" s="8" t="s">
        <v>86</v>
      </c>
      <c r="F13" s="38"/>
      <c r="G13" s="8" t="s">
        <v>87</v>
      </c>
      <c r="H13" s="586" t="s">
        <v>205</v>
      </c>
      <c r="I13" s="587"/>
      <c r="J13" s="587"/>
      <c r="K13" s="588"/>
      <c r="M13" s="257" t="s">
        <v>519</v>
      </c>
      <c r="N13" s="276">
        <f>'ARB Design'!H5</f>
        <v>84.252542548150458</v>
      </c>
      <c r="O13" s="259" t="s">
        <v>519</v>
      </c>
      <c r="P13" s="278">
        <f>'ARB Design'!J5</f>
        <v>114.1683677270411</v>
      </c>
    </row>
    <row r="14" spans="2:16" ht="20" customHeight="1" x14ac:dyDescent="0.2">
      <c r="B14" s="397" t="s">
        <v>85</v>
      </c>
      <c r="C14" s="3" t="s">
        <v>36</v>
      </c>
      <c r="D14" s="3">
        <f t="shared" si="0"/>
        <v>0</v>
      </c>
      <c r="E14" s="3" t="s">
        <v>86</v>
      </c>
      <c r="F14" s="36"/>
      <c r="G14" s="3" t="s">
        <v>87</v>
      </c>
      <c r="H14" s="592" t="s">
        <v>214</v>
      </c>
      <c r="I14" s="593"/>
      <c r="J14" s="593"/>
      <c r="K14" s="594"/>
      <c r="M14" s="398" t="s">
        <v>505</v>
      </c>
      <c r="N14" s="399"/>
      <c r="O14" s="406" t="s">
        <v>506</v>
      </c>
      <c r="P14" s="401"/>
    </row>
    <row r="15" spans="2:16" x14ac:dyDescent="0.2">
      <c r="B15" s="386"/>
      <c r="C15" s="2" t="s">
        <v>35</v>
      </c>
      <c r="D15" s="2">
        <f t="shared" si="0"/>
        <v>0</v>
      </c>
      <c r="E15" s="2" t="s">
        <v>86</v>
      </c>
      <c r="F15" s="37"/>
      <c r="G15" s="2" t="s">
        <v>87</v>
      </c>
      <c r="H15" s="586" t="s">
        <v>215</v>
      </c>
      <c r="I15" s="587"/>
      <c r="J15" s="587"/>
      <c r="K15" s="588"/>
      <c r="M15" s="256" t="s">
        <v>498</v>
      </c>
      <c r="N15" s="270">
        <f>'ARB Design'!H7</f>
        <v>0.19471367684535679</v>
      </c>
      <c r="O15" s="258" t="s">
        <v>498</v>
      </c>
      <c r="P15" s="272">
        <f>'ARB Design'!J7</f>
        <v>0.14339435316452429</v>
      </c>
    </row>
    <row r="16" spans="2:16" x14ac:dyDescent="0.2">
      <c r="B16" s="386"/>
      <c r="C16" s="2" t="s">
        <v>38</v>
      </c>
      <c r="D16" s="2">
        <f t="shared" si="0"/>
        <v>0</v>
      </c>
      <c r="E16" s="2" t="s">
        <v>86</v>
      </c>
      <c r="F16" s="37"/>
      <c r="G16" s="2" t="s">
        <v>87</v>
      </c>
      <c r="H16" s="586" t="s">
        <v>216</v>
      </c>
      <c r="I16" s="587"/>
      <c r="J16" s="587"/>
      <c r="K16" s="588"/>
      <c r="M16" s="257" t="s">
        <v>499</v>
      </c>
      <c r="N16" s="271">
        <f>'ARB Design'!H8</f>
        <v>6.5076204659516926E-2</v>
      </c>
      <c r="O16" s="259" t="s">
        <v>499</v>
      </c>
      <c r="P16" s="273">
        <f>'ARB Design'!J8</f>
        <v>4.7618279254126657E-2</v>
      </c>
    </row>
    <row r="17" spans="2:13" x14ac:dyDescent="0.2">
      <c r="B17" s="387"/>
      <c r="C17" s="8" t="s">
        <v>37</v>
      </c>
      <c r="D17" s="8">
        <f t="shared" si="0"/>
        <v>0</v>
      </c>
      <c r="E17" s="8" t="s">
        <v>86</v>
      </c>
      <c r="F17" s="38"/>
      <c r="G17" s="8" t="s">
        <v>87</v>
      </c>
      <c r="H17" s="549" t="s">
        <v>217</v>
      </c>
      <c r="I17" s="595"/>
      <c r="J17" s="595"/>
      <c r="K17" s="596"/>
    </row>
    <row r="18" spans="2:13" x14ac:dyDescent="0.2">
      <c r="M18" s="108" t="s">
        <v>292</v>
      </c>
    </row>
    <row r="19" spans="2:13" ht="25" customHeight="1" x14ac:dyDescent="0.2">
      <c r="B19" s="561" t="s">
        <v>137</v>
      </c>
      <c r="C19" s="562"/>
      <c r="D19" s="562"/>
      <c r="E19" s="562"/>
      <c r="F19" s="562"/>
      <c r="G19" s="562"/>
      <c r="H19" s="562"/>
      <c r="I19" s="562"/>
      <c r="J19" s="562"/>
      <c r="K19" s="563"/>
      <c r="M19" s="108" t="s">
        <v>293</v>
      </c>
    </row>
    <row r="20" spans="2:13" x14ac:dyDescent="0.2">
      <c r="B20" s="559" t="s">
        <v>179</v>
      </c>
      <c r="C20" s="45" t="s">
        <v>40</v>
      </c>
      <c r="D20" s="46" t="s">
        <v>80</v>
      </c>
      <c r="E20" s="46">
        <v>0.2</v>
      </c>
      <c r="F20" s="46">
        <v>0.3</v>
      </c>
      <c r="G20" s="46">
        <v>0.4</v>
      </c>
      <c r="H20" s="47">
        <v>0.55000000000000004</v>
      </c>
      <c r="I20" s="47">
        <v>0.6</v>
      </c>
      <c r="J20" s="47">
        <v>0.7</v>
      </c>
      <c r="K20" s="48">
        <v>0.8</v>
      </c>
      <c r="M20" s="108" t="s">
        <v>508</v>
      </c>
    </row>
    <row r="21" spans="2:13" x14ac:dyDescent="0.2">
      <c r="B21" s="560"/>
      <c r="C21" s="7" t="s">
        <v>39</v>
      </c>
      <c r="D21" s="2" t="s">
        <v>88</v>
      </c>
      <c r="E21" s="29">
        <f>(totalWeight_N*(cg_m - AVERAGE(rc_front_m, rc_rear_m))) / 'Roll Rates'!E20</f>
        <v>2103.9921876693757</v>
      </c>
      <c r="F21" s="29">
        <f>(totalWeight_N*(cg_m - AVERAGE(rc_front_m, rc_rear_m))) / 'Roll Rates'!F20</f>
        <v>1402.6614584462504</v>
      </c>
      <c r="G21" s="29">
        <f>(totalWeight_N*(cg_m - AVERAGE(rc_front_m, rc_rear_m))) / 'Roll Rates'!G20</f>
        <v>1051.9960938346878</v>
      </c>
      <c r="H21" s="29">
        <f>(totalWeight_N*(cg_m - AVERAGE(rc_front_m, rc_rear_m))) / 'Roll Rates'!H20</f>
        <v>765.08806824340923</v>
      </c>
      <c r="I21" s="29">
        <f>(totalWeight_N*(cg_m - AVERAGE(rc_front_m, rc_rear_m))) / 'Roll Rates'!I20</f>
        <v>701.33072922312522</v>
      </c>
      <c r="J21" s="29">
        <f>(totalWeight_N*(cg_m - AVERAGE(rc_front_m, rc_rear_m))) / 'Roll Rates'!J20</f>
        <v>601.14062504839308</v>
      </c>
      <c r="K21" s="185">
        <f>(totalWeight_N*(cg_m - AVERAGE(rc_front_m, rc_rear_m))) / 'Roll Rates'!K20</f>
        <v>525.99804691734391</v>
      </c>
    </row>
    <row r="22" spans="2:13" x14ac:dyDescent="0.2">
      <c r="B22" s="560"/>
      <c r="C22" s="7" t="s">
        <v>41</v>
      </c>
      <c r="D22" s="2" t="s">
        <v>86</v>
      </c>
      <c r="E22" s="29">
        <f t="shared" ref="E22:K22" si="1">E21*0.7375621493</f>
        <v>1551.8250000478336</v>
      </c>
      <c r="F22" s="29">
        <f t="shared" si="1"/>
        <v>1034.5500000318891</v>
      </c>
      <c r="G22" s="29">
        <f t="shared" si="1"/>
        <v>775.91250002391678</v>
      </c>
      <c r="H22" s="29">
        <f t="shared" si="1"/>
        <v>564.30000001739393</v>
      </c>
      <c r="I22" s="29">
        <f t="shared" si="1"/>
        <v>517.27500001594456</v>
      </c>
      <c r="J22" s="29">
        <f t="shared" si="1"/>
        <v>443.37857144223818</v>
      </c>
      <c r="K22" s="49">
        <f t="shared" si="1"/>
        <v>387.95625001195839</v>
      </c>
    </row>
    <row r="23" spans="2:13" x14ac:dyDescent="0.2">
      <c r="B23" s="560"/>
      <c r="C23" s="7" t="s">
        <v>42</v>
      </c>
      <c r="D23" s="2" t="s">
        <v>88</v>
      </c>
      <c r="E23" s="29">
        <f t="shared" ref="E23:K23" si="2">E21-$F$9</f>
        <v>1726.436077824517</v>
      </c>
      <c r="F23" s="29">
        <f t="shared" si="2"/>
        <v>1025.1053486013918</v>
      </c>
      <c r="G23" s="29">
        <f t="shared" si="2"/>
        <v>674.43998398982922</v>
      </c>
      <c r="H23" s="29">
        <f t="shared" si="2"/>
        <v>387.53195839855061</v>
      </c>
      <c r="I23" s="29">
        <f t="shared" si="2"/>
        <v>323.77461937826661</v>
      </c>
      <c r="J23" s="29">
        <f t="shared" si="2"/>
        <v>223.58451520353447</v>
      </c>
      <c r="K23" s="49">
        <f t="shared" si="2"/>
        <v>148.4419370724853</v>
      </c>
    </row>
    <row r="24" spans="2:13" x14ac:dyDescent="0.2">
      <c r="B24" s="94" t="s">
        <v>191</v>
      </c>
      <c r="C24" s="3" t="s">
        <v>225</v>
      </c>
      <c r="D24" s="3" t="s">
        <v>78</v>
      </c>
      <c r="E24" s="564">
        <v>48</v>
      </c>
      <c r="F24" s="564"/>
      <c r="G24" s="564"/>
      <c r="H24" s="564"/>
      <c r="I24" s="564"/>
      <c r="J24" s="564"/>
      <c r="K24" s="565"/>
    </row>
    <row r="25" spans="2:13" x14ac:dyDescent="0.2">
      <c r="B25" s="566" t="s">
        <v>84</v>
      </c>
      <c r="C25" s="101" t="s">
        <v>43</v>
      </c>
      <c r="D25" s="46" t="s">
        <v>88</v>
      </c>
      <c r="E25" s="103">
        <f t="shared" ref="E25:K25" si="3">E23 * ($E$24/100)</f>
        <v>828.68931735576814</v>
      </c>
      <c r="F25" s="103">
        <f t="shared" si="3"/>
        <v>492.05056732866808</v>
      </c>
      <c r="G25" s="288">
        <f t="shared" si="3"/>
        <v>323.73119231511799</v>
      </c>
      <c r="H25" s="104">
        <f t="shared" si="3"/>
        <v>186.01534003130428</v>
      </c>
      <c r="I25" s="289">
        <f t="shared" si="3"/>
        <v>155.41181730156796</v>
      </c>
      <c r="J25" s="104">
        <f t="shared" si="3"/>
        <v>107.32056729769654</v>
      </c>
      <c r="K25" s="105">
        <f t="shared" si="3"/>
        <v>71.252129794792936</v>
      </c>
    </row>
    <row r="26" spans="2:13" x14ac:dyDescent="0.2">
      <c r="B26" s="566"/>
      <c r="C26" s="102" t="s">
        <v>44</v>
      </c>
      <c r="D26" s="50" t="s">
        <v>88</v>
      </c>
      <c r="E26" s="106">
        <f t="shared" ref="E26:K26" si="4">E23 * (1-($E$24/100))</f>
        <v>897.7467604687489</v>
      </c>
      <c r="F26" s="106">
        <f t="shared" si="4"/>
        <v>533.05478127272374</v>
      </c>
      <c r="G26" s="106">
        <f t="shared" si="4"/>
        <v>350.70879167471122</v>
      </c>
      <c r="H26" s="107">
        <f t="shared" si="4"/>
        <v>201.51661836724634</v>
      </c>
      <c r="I26" s="107">
        <f t="shared" si="4"/>
        <v>168.36280207669864</v>
      </c>
      <c r="J26" s="107">
        <f t="shared" si="4"/>
        <v>116.26394790583792</v>
      </c>
      <c r="K26" s="106">
        <f t="shared" si="4"/>
        <v>77.189807277692367</v>
      </c>
      <c r="L26" s="112"/>
    </row>
    <row r="27" spans="2:13" x14ac:dyDescent="0.2">
      <c r="B27" s="566"/>
      <c r="C27" s="101" t="s">
        <v>43</v>
      </c>
      <c r="D27" s="52" t="s">
        <v>192</v>
      </c>
      <c r="E27" s="53">
        <f t="shared" ref="E27:K27" si="5">E25 * MR_ARB_front^2</f>
        <v>10.769646368355563</v>
      </c>
      <c r="F27" s="53">
        <f t="shared" si="5"/>
        <v>6.3946891730033704</v>
      </c>
      <c r="G27" s="53">
        <f t="shared" si="5"/>
        <v>4.2072105753272737</v>
      </c>
      <c r="H27" s="54">
        <f t="shared" si="5"/>
        <v>2.4174553590468304</v>
      </c>
      <c r="I27" s="54">
        <f t="shared" si="5"/>
        <v>2.0197319776511775</v>
      </c>
      <c r="J27" s="287">
        <f t="shared" si="5"/>
        <v>1.3947380926008643</v>
      </c>
      <c r="K27" s="285">
        <f t="shared" si="5"/>
        <v>0.92599267881312908</v>
      </c>
    </row>
    <row r="28" spans="2:13" x14ac:dyDescent="0.2">
      <c r="B28" s="567"/>
      <c r="C28" s="102" t="s">
        <v>44</v>
      </c>
      <c r="D28" s="55" t="s">
        <v>192</v>
      </c>
      <c r="E28" s="51">
        <f t="shared" ref="E28:K28" si="6">E25 * MR_ARB_rear^2</f>
        <v>20.426362983502329</v>
      </c>
      <c r="F28" s="51">
        <f t="shared" si="6"/>
        <v>12.128554434084339</v>
      </c>
      <c r="G28" s="51">
        <f t="shared" si="6"/>
        <v>7.9796501593753435</v>
      </c>
      <c r="H28" s="56">
        <f t="shared" si="6"/>
        <v>4.5850921164316194</v>
      </c>
      <c r="I28" s="56">
        <f t="shared" si="6"/>
        <v>3.8307458846663489</v>
      </c>
      <c r="J28" s="56">
        <f t="shared" si="6"/>
        <v>2.6453446633209223</v>
      </c>
      <c r="K28" s="286">
        <f t="shared" si="6"/>
        <v>1.7562937473118512</v>
      </c>
    </row>
    <row r="29" spans="2:13" x14ac:dyDescent="0.2">
      <c r="B29" s="42"/>
      <c r="C29" s="8"/>
      <c r="D29" s="8"/>
      <c r="E29" s="40" t="s">
        <v>89</v>
      </c>
      <c r="F29" s="8"/>
      <c r="G29" s="8"/>
      <c r="H29" s="8"/>
      <c r="I29" s="8"/>
      <c r="J29" s="8"/>
      <c r="K29" s="41" t="s">
        <v>90</v>
      </c>
    </row>
    <row r="31" spans="2:13" ht="25" customHeight="1" x14ac:dyDescent="0.2">
      <c r="B31" s="556" t="s">
        <v>193</v>
      </c>
      <c r="C31" s="557"/>
      <c r="D31" s="557"/>
      <c r="E31" s="557"/>
      <c r="F31" s="558"/>
      <c r="G31" s="11"/>
      <c r="H31" s="11"/>
      <c r="I31" s="11"/>
      <c r="J31" s="11"/>
      <c r="K31" s="11"/>
    </row>
    <row r="32" spans="2:13" x14ac:dyDescent="0.2">
      <c r="B32" s="43" t="s">
        <v>196</v>
      </c>
      <c r="C32" s="44" t="s">
        <v>207</v>
      </c>
      <c r="D32" s="44" t="s">
        <v>17</v>
      </c>
      <c r="E32" s="568" t="s">
        <v>201</v>
      </c>
      <c r="F32" s="569"/>
    </row>
    <row r="33" spans="2:8" x14ac:dyDescent="0.2">
      <c r="B33" s="578" t="str">
        <f>"[" &amp; G20 &amp; ", " &amp; I20 &amp; "]"</f>
        <v>[0.4, 0.6]</v>
      </c>
      <c r="C33" s="3" t="s">
        <v>195</v>
      </c>
      <c r="D33" s="31">
        <f xml:space="preserve"> (F3 + (I23*(E24/100))) /  (F3 + (I23*(E24/100)) + F4 + (G23*((100-E24)/100))) * 100</f>
        <v>37.275144896212353</v>
      </c>
      <c r="E33" s="564" t="str">
        <f>"[" &amp; ROUND(D33,0) &amp; ", " &amp; ROUND(D34,0) &amp; "]"</f>
        <v>[37, 56]</v>
      </c>
      <c r="F33" s="565"/>
    </row>
    <row r="34" spans="2:8" x14ac:dyDescent="0.2">
      <c r="B34" s="566"/>
      <c r="C34" s="2" t="s">
        <v>194</v>
      </c>
      <c r="D34" s="29">
        <f xml:space="preserve"> (F3 + (G23*(E24/100))) /  (F3 + (G23*(E24/100)) + F4 + (I23*((100-E24)/100))) * 100</f>
        <v>55.984211737344722</v>
      </c>
      <c r="E34" s="570"/>
      <c r="F34" s="571"/>
      <c r="H34" s="290"/>
    </row>
    <row r="35" spans="2:8" x14ac:dyDescent="0.2">
      <c r="B35" s="579" t="str">
        <f>"[" &amp; H20 &amp; ", " &amp; J20 &amp; "]"</f>
        <v>[0.55, 0.7]</v>
      </c>
      <c r="C35" s="47" t="s">
        <v>195</v>
      </c>
      <c r="D35" s="54">
        <f xml:space="preserve"> (F3 + (J23*(E24/100))) /  (F3 + (J23*(E24/100)) + F4 + (H23*((100-E24)/100))) * 100</f>
        <v>40.693725627052743</v>
      </c>
      <c r="E35" s="572" t="str">
        <f>"[" &amp; ROUND(D35,0) &amp; ", " &amp; ROUND(D36,0) &amp; "]"</f>
        <v>[41, 52]</v>
      </c>
      <c r="F35" s="573"/>
    </row>
    <row r="36" spans="2:8" x14ac:dyDescent="0.2">
      <c r="B36" s="580"/>
      <c r="C36" s="57" t="s">
        <v>194</v>
      </c>
      <c r="D36" s="56">
        <f xml:space="preserve"> (F3 + (H23*(E24/100))) /  (F3 + (H23*(E24/100)) + F4 + (J23*((100-E24)/100))) * 100</f>
        <v>51.721587762203903</v>
      </c>
      <c r="E36" s="574"/>
      <c r="F36" s="575"/>
    </row>
    <row r="37" spans="2:8" x14ac:dyDescent="0.2">
      <c r="B37" s="566" t="str">
        <f>"[" &amp; I20 &amp; ", " &amp; K20 &amp; "]"</f>
        <v>[0.6, 0.8]</v>
      </c>
      <c r="C37" s="2" t="s">
        <v>195</v>
      </c>
      <c r="D37" s="29">
        <f xml:space="preserve"> (F3 + (K23*(E24/100))) /  (F3 + (K23*(E24/100)) + F4 + (I23*((100-E24)/100))) * 100</f>
        <v>39.523688387505764</v>
      </c>
      <c r="E37" s="570" t="str">
        <f>"[" &amp; ROUND(D37,0) &amp; ", " &amp; ROUND(D38,0) &amp; "]"</f>
        <v>[40, 53]</v>
      </c>
      <c r="F37" s="571"/>
    </row>
    <row r="38" spans="2:8" x14ac:dyDescent="0.2">
      <c r="B38" s="567"/>
      <c r="C38" s="8" t="s">
        <v>194</v>
      </c>
      <c r="D38" s="32">
        <f xml:space="preserve"> (F3 + (I23*(E24/100))) /  (F3 + (I23*(E24/100)) + F4 + (K23*((100-E24)/100))) * 100</f>
        <v>52.535043800310866</v>
      </c>
      <c r="E38" s="576"/>
      <c r="F38" s="577"/>
    </row>
  </sheetData>
  <mergeCells count="42">
    <mergeCell ref="H17:K17"/>
    <mergeCell ref="H15:K15"/>
    <mergeCell ref="H16:K16"/>
    <mergeCell ref="H10:K10"/>
    <mergeCell ref="B14:B17"/>
    <mergeCell ref="H14:K14"/>
    <mergeCell ref="M2:P2"/>
    <mergeCell ref="M3:N3"/>
    <mergeCell ref="O3:P3"/>
    <mergeCell ref="H11:K11"/>
    <mergeCell ref="H12:K12"/>
    <mergeCell ref="H5:K5"/>
    <mergeCell ref="B2:K2"/>
    <mergeCell ref="H3:K3"/>
    <mergeCell ref="H4:K4"/>
    <mergeCell ref="B10:B13"/>
    <mergeCell ref="H8:K8"/>
    <mergeCell ref="H13:K13"/>
    <mergeCell ref="H7:K7"/>
    <mergeCell ref="H9:K9"/>
    <mergeCell ref="B7:B8"/>
    <mergeCell ref="M11:N11"/>
    <mergeCell ref="B37:B38"/>
    <mergeCell ref="E32:F32"/>
    <mergeCell ref="E33:F34"/>
    <mergeCell ref="E35:F36"/>
    <mergeCell ref="E37:F38"/>
    <mergeCell ref="B33:B34"/>
    <mergeCell ref="B35:B36"/>
    <mergeCell ref="B31:F31"/>
    <mergeCell ref="B20:B23"/>
    <mergeCell ref="B19:K19"/>
    <mergeCell ref="E24:K24"/>
    <mergeCell ref="B25:B28"/>
    <mergeCell ref="O14:P14"/>
    <mergeCell ref="B3:B6"/>
    <mergeCell ref="H6:K6"/>
    <mergeCell ref="M6:N6"/>
    <mergeCell ref="O6:P6"/>
    <mergeCell ref="M10:P10"/>
    <mergeCell ref="O11:P11"/>
    <mergeCell ref="M14:N14"/>
  </mergeCells>
  <pageMargins left="0.7" right="0.7" top="0.75" bottom="0.75" header="0.3" footer="0.3"/>
  <pageSetup orientation="portrait" horizontalDpi="0" verticalDpi="0"/>
  <ignoredErrors>
    <ignoredError sqref="D9 D5"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8334-A545-EF41-9A2D-C1D3E3E51918}">
  <sheetPr>
    <pageSetUpPr fitToPage="1"/>
  </sheetPr>
  <dimension ref="B2:Z41"/>
  <sheetViews>
    <sheetView zoomScale="92" zoomScaleNormal="92" workbookViewId="0"/>
  </sheetViews>
  <sheetFormatPr baseColWidth="10" defaultRowHeight="16" x14ac:dyDescent="0.2"/>
  <cols>
    <col min="1" max="1" width="2.6640625" customWidth="1"/>
    <col min="3" max="3" width="21.1640625" customWidth="1"/>
    <col min="7" max="7" width="13.83203125" customWidth="1"/>
    <col min="8" max="8" width="16" bestFit="1" customWidth="1"/>
    <col min="9" max="10" width="13.83203125" customWidth="1"/>
    <col min="11" max="11" width="16.33203125" bestFit="1" customWidth="1"/>
    <col min="14" max="15" width="10.83203125" customWidth="1"/>
    <col min="16" max="16" width="13.33203125" bestFit="1" customWidth="1"/>
    <col min="17" max="18" width="10.83203125" customWidth="1"/>
    <col min="19" max="19" width="13.33203125" bestFit="1" customWidth="1"/>
    <col min="20" max="20" width="10.83203125" customWidth="1"/>
  </cols>
  <sheetData>
    <row r="2" spans="2:10" ht="25" customHeight="1" x14ac:dyDescent="0.2">
      <c r="B2" s="388" t="s">
        <v>484</v>
      </c>
      <c r="C2" s="389"/>
      <c r="D2" s="389"/>
      <c r="E2" s="390"/>
      <c r="G2" s="405" t="s">
        <v>522</v>
      </c>
      <c r="H2" s="403"/>
      <c r="I2" s="403"/>
      <c r="J2" s="404"/>
    </row>
    <row r="3" spans="2:10" ht="20" customHeight="1" x14ac:dyDescent="0.2">
      <c r="B3" s="407" t="s">
        <v>487</v>
      </c>
      <c r="C3" s="2" t="s">
        <v>476</v>
      </c>
      <c r="D3" s="76">
        <f>CONVERT(16.726, "in", E3)</f>
        <v>0.42484040000000001</v>
      </c>
      <c r="E3" s="227" t="s">
        <v>74</v>
      </c>
      <c r="G3" s="398" t="s">
        <v>520</v>
      </c>
      <c r="H3" s="399"/>
      <c r="I3" s="406" t="s">
        <v>521</v>
      </c>
      <c r="J3" s="401"/>
    </row>
    <row r="4" spans="2:10" x14ac:dyDescent="0.2">
      <c r="B4" s="407"/>
      <c r="C4" s="376" t="s">
        <v>478</v>
      </c>
      <c r="D4" s="377">
        <f>CONVERT(0.5, "in", E4)</f>
        <v>1.2699999999999999E-2</v>
      </c>
      <c r="E4" s="378" t="s">
        <v>74</v>
      </c>
      <c r="G4" s="256" t="s">
        <v>518</v>
      </c>
      <c r="H4" s="301">
        <f>CONVERT(D29, E29, "lbf")</f>
        <v>61.866075255488504</v>
      </c>
      <c r="I4" s="258" t="s">
        <v>518</v>
      </c>
      <c r="J4" s="303">
        <f>CONVERT(D41, E41, "lbf")</f>
        <v>83.833064450972643</v>
      </c>
    </row>
    <row r="5" spans="2:10" x14ac:dyDescent="0.2">
      <c r="B5" s="407"/>
      <c r="C5" s="376" t="s">
        <v>479</v>
      </c>
      <c r="D5" s="377">
        <f>D4-(CONVERT(0.028, "in", E5)*2)</f>
        <v>1.1277599999999999E-2</v>
      </c>
      <c r="E5" s="378" t="s">
        <v>74</v>
      </c>
      <c r="G5" s="257" t="s">
        <v>519</v>
      </c>
      <c r="H5" s="302">
        <f>CONVERT(D23, E23, "lbf")</f>
        <v>84.252542548150458</v>
      </c>
      <c r="I5" s="259" t="s">
        <v>519</v>
      </c>
      <c r="J5" s="304">
        <f>CONVERT(D35, E35, "lbf")</f>
        <v>114.1683677270411</v>
      </c>
    </row>
    <row r="6" spans="2:10" ht="20" customHeight="1" x14ac:dyDescent="0.2">
      <c r="B6" s="407"/>
      <c r="C6" s="2" t="s">
        <v>482</v>
      </c>
      <c r="D6" s="76">
        <f>CONVERT(2.818, "in", E6)</f>
        <v>7.1577199999999994E-2</v>
      </c>
      <c r="E6" s="227" t="s">
        <v>74</v>
      </c>
      <c r="G6" s="398" t="s">
        <v>505</v>
      </c>
      <c r="H6" s="399"/>
      <c r="I6" s="400" t="s">
        <v>506</v>
      </c>
      <c r="J6" s="401"/>
    </row>
    <row r="7" spans="2:10" x14ac:dyDescent="0.2">
      <c r="B7" s="410"/>
      <c r="C7" s="50" t="s">
        <v>492</v>
      </c>
      <c r="D7" s="262">
        <f>(PI() / 32) * (D4^4 - D5^4)</f>
        <v>9.6590501186976829E-10</v>
      </c>
      <c r="E7" s="253" t="s">
        <v>494</v>
      </c>
      <c r="G7" s="256" t="s">
        <v>499</v>
      </c>
      <c r="H7" s="270">
        <f>CONVERT(D28, E28, "in") / 2</f>
        <v>0.19471367684535679</v>
      </c>
      <c r="I7" s="258" t="s">
        <v>499</v>
      </c>
      <c r="J7" s="272">
        <f>CONVERT(D40, E40, "in") / 2</f>
        <v>0.14339435316452429</v>
      </c>
    </row>
    <row r="8" spans="2:10" x14ac:dyDescent="0.2">
      <c r="B8" s="411" t="s">
        <v>488</v>
      </c>
      <c r="C8" s="46" t="s">
        <v>477</v>
      </c>
      <c r="D8" s="260">
        <f>CONVERT(17.868, "in", E8)</f>
        <v>0.45384720000000001</v>
      </c>
      <c r="E8" s="48" t="s">
        <v>74</v>
      </c>
      <c r="G8" s="257" t="s">
        <v>498</v>
      </c>
      <c r="H8" s="271">
        <f>CONVERT(D22, E22, "in") / 2</f>
        <v>6.5076204659516926E-2</v>
      </c>
      <c r="I8" s="259" t="s">
        <v>498</v>
      </c>
      <c r="J8" s="273">
        <f>CONVERT(D34, E34, "in") / 2</f>
        <v>4.7618279254126657E-2</v>
      </c>
    </row>
    <row r="9" spans="2:10" x14ac:dyDescent="0.2">
      <c r="B9" s="407"/>
      <c r="C9" s="376" t="s">
        <v>480</v>
      </c>
      <c r="D9" s="377">
        <f>CONVERT(0.625, "in", E9)</f>
        <v>1.5875E-2</v>
      </c>
      <c r="E9" s="378" t="s">
        <v>74</v>
      </c>
    </row>
    <row r="10" spans="2:10" ht="25" customHeight="1" x14ac:dyDescent="0.2">
      <c r="B10" s="407"/>
      <c r="C10" s="376" t="s">
        <v>481</v>
      </c>
      <c r="D10" s="377">
        <f>D9-(CONVERT(0.028, "in", E10)*2)</f>
        <v>1.4452599999999999E-2</v>
      </c>
      <c r="E10" s="378" t="s">
        <v>74</v>
      </c>
      <c r="G10" s="405" t="s">
        <v>527</v>
      </c>
      <c r="H10" s="403"/>
      <c r="I10" s="403"/>
      <c r="J10" s="404"/>
    </row>
    <row r="11" spans="2:10" ht="20" customHeight="1" x14ac:dyDescent="0.2">
      <c r="B11" s="407"/>
      <c r="C11" s="2" t="s">
        <v>483</v>
      </c>
      <c r="D11" s="76">
        <f>CONVERT(2.864, "in", E11)</f>
        <v>7.2745599999999994E-2</v>
      </c>
      <c r="E11" s="227" t="s">
        <v>74</v>
      </c>
      <c r="G11" s="398" t="s">
        <v>505</v>
      </c>
      <c r="H11" s="399"/>
      <c r="I11" s="400" t="s">
        <v>506</v>
      </c>
      <c r="J11" s="401"/>
    </row>
    <row r="12" spans="2:10" x14ac:dyDescent="0.2">
      <c r="B12" s="410"/>
      <c r="C12" s="50" t="s">
        <v>493</v>
      </c>
      <c r="D12" s="262">
        <f>(PI() / 32) * (D9^4 - D10^4)</f>
        <v>1.9519111712282703E-9</v>
      </c>
      <c r="E12" s="253" t="s">
        <v>494</v>
      </c>
      <c r="G12" s="256" t="s">
        <v>499</v>
      </c>
      <c r="H12" s="354">
        <f>CONVERT(I26, J26, "in") / 2</f>
        <v>0.16394234407433231</v>
      </c>
      <c r="I12" s="258" t="s">
        <v>499</v>
      </c>
      <c r="J12" s="355">
        <f>CONVERT(I31, J31, "in") / 2</f>
        <v>0.12073320562625568</v>
      </c>
    </row>
    <row r="13" spans="2:10" x14ac:dyDescent="0.2">
      <c r="B13" s="407" t="s">
        <v>489</v>
      </c>
      <c r="C13" s="46" t="s">
        <v>475</v>
      </c>
      <c r="D13" s="263">
        <v>80000000000</v>
      </c>
      <c r="E13" s="48" t="s">
        <v>486</v>
      </c>
      <c r="G13" s="257" t="s">
        <v>498</v>
      </c>
      <c r="H13" s="271">
        <f>CONVERT(L26, M26, "in") / 2</f>
        <v>5.9175395796627249E-2</v>
      </c>
      <c r="I13" s="259" t="s">
        <v>498</v>
      </c>
      <c r="J13" s="362">
        <f>CONVERT(L31, M31, "in") / 2</f>
        <v>4.3300474217271123E-2</v>
      </c>
    </row>
    <row r="14" spans="2:10" x14ac:dyDescent="0.2">
      <c r="B14" s="408"/>
      <c r="C14" s="2" t="s">
        <v>468</v>
      </c>
      <c r="D14" s="76">
        <f>rollGrad_min * a_y</f>
        <v>1.2649999999999999</v>
      </c>
      <c r="E14" s="227" t="s">
        <v>79</v>
      </c>
    </row>
    <row r="15" spans="2:10" x14ac:dyDescent="0.2">
      <c r="B15" s="409"/>
      <c r="C15" s="50" t="s">
        <v>287</v>
      </c>
      <c r="D15" s="261">
        <f>rollGrad_max * a_y</f>
        <v>1.6099999999999999</v>
      </c>
      <c r="E15" s="253" t="s">
        <v>79</v>
      </c>
      <c r="G15" s="296"/>
    </row>
    <row r="16" spans="2:10" x14ac:dyDescent="0.2">
      <c r="B16" s="1"/>
      <c r="C16" s="2"/>
      <c r="D16" s="2"/>
      <c r="E16" s="2"/>
    </row>
    <row r="17" spans="2:26" ht="25" customHeight="1" x14ac:dyDescent="0.2">
      <c r="B17" s="402" t="s">
        <v>507</v>
      </c>
      <c r="C17" s="403"/>
      <c r="D17" s="403"/>
      <c r="E17" s="404"/>
      <c r="G17" s="388" t="s">
        <v>572</v>
      </c>
      <c r="H17" s="389"/>
      <c r="I17" s="389"/>
      <c r="J17" s="389"/>
      <c r="K17" s="389"/>
      <c r="L17" s="389"/>
      <c r="M17" s="390"/>
      <c r="O17" s="388" t="s">
        <v>524</v>
      </c>
      <c r="P17" s="389"/>
      <c r="Q17" s="389"/>
      <c r="R17" s="389"/>
      <c r="S17" s="389"/>
      <c r="T17" s="389"/>
      <c r="U17" s="390"/>
    </row>
    <row r="18" spans="2:26" ht="16" customHeight="1" x14ac:dyDescent="0.2">
      <c r="B18" s="394" t="s">
        <v>490</v>
      </c>
      <c r="C18" s="295" t="s">
        <v>473</v>
      </c>
      <c r="D18" s="260">
        <f>D14/MR_ARB_front</f>
        <v>11.096491228070175</v>
      </c>
      <c r="E18" s="48" t="s">
        <v>79</v>
      </c>
      <c r="G18" s="94" t="s">
        <v>573</v>
      </c>
      <c r="H18" s="382" t="s">
        <v>577</v>
      </c>
      <c r="I18" s="383"/>
      <c r="J18" s="384"/>
      <c r="K18" s="382" t="s">
        <v>578</v>
      </c>
      <c r="L18" s="383"/>
      <c r="M18" s="384"/>
      <c r="O18" s="340"/>
      <c r="P18" s="382" t="s">
        <v>158</v>
      </c>
      <c r="Q18" s="383"/>
      <c r="R18" s="384"/>
      <c r="S18" s="382" t="s">
        <v>159</v>
      </c>
      <c r="T18" s="383"/>
      <c r="U18" s="384"/>
    </row>
    <row r="19" spans="2:26" x14ac:dyDescent="0.2">
      <c r="B19" s="395"/>
      <c r="C19" s="1" t="s">
        <v>474</v>
      </c>
      <c r="D19" s="76">
        <f>D18*'Roll Rates'!H27</f>
        <v>26.82527218591439</v>
      </c>
      <c r="E19" s="227" t="s">
        <v>160</v>
      </c>
      <c r="G19" s="397" t="s">
        <v>489</v>
      </c>
      <c r="H19" s="368" t="s">
        <v>569</v>
      </c>
      <c r="I19" s="358">
        <f>I37</f>
        <v>563.66238514741462</v>
      </c>
      <c r="J19" s="338" t="s">
        <v>87</v>
      </c>
      <c r="K19" s="369" t="s">
        <v>569</v>
      </c>
      <c r="L19" s="360">
        <f>L37</f>
        <v>664.24781129977009</v>
      </c>
      <c r="M19" s="338" t="s">
        <v>87</v>
      </c>
      <c r="O19" s="394" t="s">
        <v>582</v>
      </c>
      <c r="P19" s="341" t="s">
        <v>583</v>
      </c>
      <c r="Q19" s="342">
        <f>($D$19*($D$4/2))/$D$7</f>
        <v>176353240.00526372</v>
      </c>
      <c r="R19" s="343" t="s">
        <v>486</v>
      </c>
      <c r="S19" s="341" t="s">
        <v>583</v>
      </c>
      <c r="T19" s="342">
        <f>($D$31*($D$9/2))/$D$12</f>
        <v>150232061.60190147</v>
      </c>
      <c r="U19" s="343" t="s">
        <v>486</v>
      </c>
    </row>
    <row r="20" spans="2:26" x14ac:dyDescent="0.2">
      <c r="B20" s="395"/>
      <c r="C20" s="1" t="s">
        <v>485</v>
      </c>
      <c r="D20" s="76">
        <f>(D19*D3)/(D13*D7) * (180/PI())</f>
        <v>8.4502230423214861</v>
      </c>
      <c r="E20" s="227" t="s">
        <v>79</v>
      </c>
      <c r="G20" s="386"/>
      <c r="H20" s="370" t="s">
        <v>570</v>
      </c>
      <c r="I20" s="371">
        <f>(totalSprungWeight_N*(cg_m - AVERAGE((rc_front_m,rc_rear_m)))/I19)</f>
        <v>0.58937637412689647</v>
      </c>
      <c r="J20" s="372" t="s">
        <v>576</v>
      </c>
      <c r="K20" s="373" t="s">
        <v>570</v>
      </c>
      <c r="L20" s="374">
        <f>(totalSprungWeight_N*(cg_m - AVERAGE((rc_front_m,rc_rear_m)))/L19)</f>
        <v>0.50012854711534438</v>
      </c>
      <c r="M20" s="372" t="s">
        <v>576</v>
      </c>
      <c r="O20" s="395"/>
      <c r="P20" s="232" t="s">
        <v>584</v>
      </c>
      <c r="Q20" s="348">
        <f>435*10^6</f>
        <v>435000000</v>
      </c>
      <c r="R20" s="345" t="s">
        <v>486</v>
      </c>
      <c r="S20" s="232" t="s">
        <v>584</v>
      </c>
      <c r="T20" s="348">
        <f>435*10^6</f>
        <v>435000000</v>
      </c>
      <c r="U20" s="345" t="s">
        <v>486</v>
      </c>
    </row>
    <row r="21" spans="2:26" x14ac:dyDescent="0.2">
      <c r="B21" s="395"/>
      <c r="C21" s="1" t="s">
        <v>497</v>
      </c>
      <c r="D21" s="76">
        <f>D18-D20</f>
        <v>2.6462681857486885</v>
      </c>
      <c r="E21" s="227" t="s">
        <v>79</v>
      </c>
      <c r="G21" s="387"/>
      <c r="H21" s="24" t="s">
        <v>571</v>
      </c>
      <c r="I21" s="359">
        <f>I20 * a_y</f>
        <v>1.3555656604918618</v>
      </c>
      <c r="J21" s="25" t="s">
        <v>79</v>
      </c>
      <c r="K21" s="339" t="s">
        <v>571</v>
      </c>
      <c r="L21" s="361">
        <f>L20 * a_y</f>
        <v>1.1502956583652919</v>
      </c>
      <c r="M21" s="25" t="s">
        <v>79</v>
      </c>
      <c r="O21" s="395"/>
      <c r="P21" s="232" t="s">
        <v>585</v>
      </c>
      <c r="Q21" s="348">
        <f>670000000</f>
        <v>670000000</v>
      </c>
      <c r="R21" s="345" t="s">
        <v>486</v>
      </c>
      <c r="S21" s="232" t="s">
        <v>585</v>
      </c>
      <c r="T21" s="348">
        <f>670000000</f>
        <v>670000000</v>
      </c>
      <c r="U21" s="345" t="s">
        <v>486</v>
      </c>
    </row>
    <row r="22" spans="2:26" x14ac:dyDescent="0.2">
      <c r="B22" s="395"/>
      <c r="C22" s="298" t="s">
        <v>504</v>
      </c>
      <c r="D22" s="198">
        <f>D6 * (D21*(PI()/180))</f>
        <v>3.3058711967034597E-3</v>
      </c>
      <c r="E22" s="297" t="s">
        <v>74</v>
      </c>
      <c r="G22" s="385" t="s">
        <v>158</v>
      </c>
      <c r="H22" s="337" t="s">
        <v>473</v>
      </c>
      <c r="I22" s="363">
        <f>I21/MR_ARB_front</f>
        <v>11.890926846419839</v>
      </c>
      <c r="J22" s="338" t="s">
        <v>79</v>
      </c>
      <c r="K22" s="337" t="s">
        <v>473</v>
      </c>
      <c r="L22" s="366">
        <f>L21/MR_ARB_front</f>
        <v>10.090312792677999</v>
      </c>
      <c r="M22" s="338" t="s">
        <v>79</v>
      </c>
      <c r="O22" s="395"/>
      <c r="P22" s="232" t="s">
        <v>586</v>
      </c>
      <c r="Q22" s="344">
        <v>1.1000000000000001</v>
      </c>
      <c r="R22" s="345" t="s">
        <v>77</v>
      </c>
      <c r="S22" s="232" t="s">
        <v>586</v>
      </c>
      <c r="T22" s="344">
        <v>1.1000000000000001</v>
      </c>
      <c r="U22" s="345" t="s">
        <v>77</v>
      </c>
    </row>
    <row r="23" spans="2:26" x14ac:dyDescent="0.2">
      <c r="B23" s="396"/>
      <c r="C23" s="296" t="s">
        <v>523</v>
      </c>
      <c r="D23" s="198">
        <f>D19/D6</f>
        <v>374.77398090333782</v>
      </c>
      <c r="E23" s="297" t="s">
        <v>76</v>
      </c>
      <c r="G23" s="386"/>
      <c r="H23" t="s">
        <v>474</v>
      </c>
      <c r="I23" s="364">
        <f>'Roll Rates'!J27 * I22</f>
        <v>16.584728629032018</v>
      </c>
      <c r="J23" s="22" t="s">
        <v>160</v>
      </c>
      <c r="K23" t="s">
        <v>474</v>
      </c>
      <c r="L23" s="336">
        <f>'Roll Rates'!H27 * L22</f>
        <v>24.392880735118219</v>
      </c>
      <c r="M23" s="22" t="s">
        <v>160</v>
      </c>
      <c r="O23" s="395"/>
      <c r="P23" s="232" t="s">
        <v>587</v>
      </c>
      <c r="Q23" s="344">
        <v>1.25</v>
      </c>
      <c r="R23" s="345" t="s">
        <v>77</v>
      </c>
      <c r="S23" s="232" t="s">
        <v>587</v>
      </c>
      <c r="T23" s="344">
        <v>1.25</v>
      </c>
      <c r="U23" s="345" t="s">
        <v>77</v>
      </c>
      <c r="Z23" s="2"/>
    </row>
    <row r="24" spans="2:26" ht="16" customHeight="1" x14ac:dyDescent="0.2">
      <c r="B24" s="394" t="s">
        <v>495</v>
      </c>
      <c r="C24" s="295" t="s">
        <v>473</v>
      </c>
      <c r="D24" s="260">
        <f>D15/MR_ARB_front</f>
        <v>14.122807017543858</v>
      </c>
      <c r="E24" s="48" t="s">
        <v>79</v>
      </c>
      <c r="G24" s="386"/>
      <c r="H24" t="s">
        <v>592</v>
      </c>
      <c r="I24" s="364">
        <f>(I23*D3)/(D13*D7) * (180/PI())</f>
        <v>5.2243516874838409</v>
      </c>
      <c r="J24" s="22" t="s">
        <v>79</v>
      </c>
      <c r="K24" t="s">
        <v>592</v>
      </c>
      <c r="L24" s="336">
        <f>(L23*D3)/(D13*D7) * (180/PI())</f>
        <v>7.6839959508306368</v>
      </c>
      <c r="M24" s="22" t="s">
        <v>79</v>
      </c>
      <c r="O24" s="395"/>
      <c r="P24" s="346" t="s">
        <v>588</v>
      </c>
      <c r="Q24" s="350">
        <f>$Q$20/($Q$19*$Q$22)-1</f>
        <v>1.2424002271959509</v>
      </c>
      <c r="R24" s="345" t="s">
        <v>77</v>
      </c>
      <c r="S24" s="346" t="s">
        <v>588</v>
      </c>
      <c r="T24" s="350">
        <f>$T$20/($T$19*$T$22)-1</f>
        <v>1.632291278159097</v>
      </c>
      <c r="U24" s="345" t="s">
        <v>77</v>
      </c>
    </row>
    <row r="25" spans="2:26" x14ac:dyDescent="0.2">
      <c r="B25" s="395"/>
      <c r="C25" s="1" t="s">
        <v>474</v>
      </c>
      <c r="D25" s="76">
        <f>'Roll Rates'!J27*D24</f>
        <v>19.697616921819222</v>
      </c>
      <c r="E25" s="227" t="s">
        <v>160</v>
      </c>
      <c r="G25" s="386"/>
      <c r="H25" t="s">
        <v>593</v>
      </c>
      <c r="I25" s="364">
        <f>I22-I24</f>
        <v>6.6665751589359985</v>
      </c>
      <c r="J25" s="22" t="s">
        <v>79</v>
      </c>
      <c r="K25" t="s">
        <v>593</v>
      </c>
      <c r="L25" s="336">
        <f>L22-L24</f>
        <v>2.4063168418473619</v>
      </c>
      <c r="M25" s="22" t="s">
        <v>79</v>
      </c>
      <c r="O25" s="395"/>
      <c r="P25" s="346" t="s">
        <v>589</v>
      </c>
      <c r="Q25" s="350">
        <f>$Q$21/($Q$19*$Q$23)-1</f>
        <v>2.0393544228844434</v>
      </c>
      <c r="R25" s="345" t="s">
        <v>77</v>
      </c>
      <c r="S25" s="346" t="s">
        <v>589</v>
      </c>
      <c r="T25" s="350">
        <f>$T$21/($T$19*$T$23)-1</f>
        <v>2.5678136496611579</v>
      </c>
      <c r="U25" s="345" t="s">
        <v>77</v>
      </c>
    </row>
    <row r="26" spans="2:26" x14ac:dyDescent="0.2">
      <c r="B26" s="395"/>
      <c r="C26" s="1" t="s">
        <v>485</v>
      </c>
      <c r="D26" s="76">
        <f>(D25*D3)/(D13*D7) * (180/PI())</f>
        <v>6.2049419382584601</v>
      </c>
      <c r="E26" s="227" t="s">
        <v>79</v>
      </c>
      <c r="G26" s="387"/>
      <c r="H26" s="24" t="s">
        <v>504</v>
      </c>
      <c r="I26" s="365">
        <f>D6 * (I25*(PI()/180))</f>
        <v>8.3282710789760808E-3</v>
      </c>
      <c r="J26" s="25" t="s">
        <v>74</v>
      </c>
      <c r="K26" s="24" t="s">
        <v>504</v>
      </c>
      <c r="L26" s="367">
        <f>D6 * (L25*(PI()/180))</f>
        <v>3.006110106468664E-3</v>
      </c>
      <c r="M26" s="25" t="s">
        <v>74</v>
      </c>
      <c r="O26" s="396"/>
      <c r="P26" s="351" t="s">
        <v>591</v>
      </c>
      <c r="Q26" s="352" t="s">
        <v>580</v>
      </c>
      <c r="R26" s="352" t="s">
        <v>581</v>
      </c>
      <c r="S26" s="351" t="s">
        <v>591</v>
      </c>
      <c r="T26" s="352" t="s">
        <v>580</v>
      </c>
      <c r="U26" s="352" t="s">
        <v>581</v>
      </c>
    </row>
    <row r="27" spans="2:26" x14ac:dyDescent="0.2">
      <c r="B27" s="395"/>
      <c r="C27" s="1" t="s">
        <v>497</v>
      </c>
      <c r="D27" s="76">
        <f>D24-D26</f>
        <v>7.9178650792853977</v>
      </c>
      <c r="E27" s="227" t="s">
        <v>79</v>
      </c>
      <c r="G27" s="385" t="s">
        <v>159</v>
      </c>
      <c r="H27" s="337" t="s">
        <v>473</v>
      </c>
      <c r="I27" s="363">
        <f>I21/MR_ARB_rear</f>
        <v>8.6341761814768265</v>
      </c>
      <c r="J27" s="338" t="s">
        <v>79</v>
      </c>
      <c r="K27" s="337" t="s">
        <v>473</v>
      </c>
      <c r="L27" s="366">
        <f>L21/MR_ARB_rear</f>
        <v>7.3267239386324325</v>
      </c>
      <c r="M27" s="338" t="s">
        <v>79</v>
      </c>
      <c r="O27" s="379" t="s">
        <v>579</v>
      </c>
      <c r="P27" s="341" t="s">
        <v>583</v>
      </c>
      <c r="Q27" s="342">
        <f>131580 * 6894.75</f>
        <v>907211205</v>
      </c>
      <c r="R27" s="343" t="s">
        <v>486</v>
      </c>
      <c r="S27" s="341" t="s">
        <v>583</v>
      </c>
      <c r="T27" s="342">
        <f>125290 * 6894.75</f>
        <v>863843227.5</v>
      </c>
      <c r="U27" s="343" t="s">
        <v>486</v>
      </c>
    </row>
    <row r="28" spans="2:26" ht="17" x14ac:dyDescent="0.2">
      <c r="B28" s="395"/>
      <c r="C28" s="298" t="s">
        <v>504</v>
      </c>
      <c r="D28" s="198">
        <f>D6 * (D27*(PI()/180))</f>
        <v>9.8914547837441243E-3</v>
      </c>
      <c r="E28" s="297" t="s">
        <v>74</v>
      </c>
      <c r="G28" s="386"/>
      <c r="H28" t="s">
        <v>474</v>
      </c>
      <c r="I28" s="364">
        <f>'Roll Rates'!J28 * I27</f>
        <v>22.840371883842341</v>
      </c>
      <c r="J28" s="22" t="s">
        <v>160</v>
      </c>
      <c r="K28" t="s">
        <v>474</v>
      </c>
      <c r="L28" s="336">
        <f>'Roll Rates'!H28 * L27</f>
        <v>33.593704170294387</v>
      </c>
      <c r="M28" s="22" t="s">
        <v>160</v>
      </c>
      <c r="O28" s="380"/>
      <c r="P28" s="347" t="s">
        <v>590</v>
      </c>
      <c r="Q28" s="344">
        <f>1000*10^6</f>
        <v>1000000000</v>
      </c>
      <c r="R28" s="345" t="s">
        <v>486</v>
      </c>
      <c r="S28" s="347" t="s">
        <v>590</v>
      </c>
      <c r="T28" s="344">
        <f>1000*10^6</f>
        <v>1000000000</v>
      </c>
      <c r="U28" s="345" t="s">
        <v>486</v>
      </c>
    </row>
    <row r="29" spans="2:26" x14ac:dyDescent="0.2">
      <c r="B29" s="396"/>
      <c r="C29" s="296" t="s">
        <v>523</v>
      </c>
      <c r="D29" s="198">
        <f>D25/D6</f>
        <v>275.19401320279673</v>
      </c>
      <c r="E29" s="297" t="s">
        <v>76</v>
      </c>
      <c r="G29" s="386"/>
      <c r="H29" t="s">
        <v>592</v>
      </c>
      <c r="I29" s="364">
        <f>(I28*D8)/(D13*D12) * (180/PI())</f>
        <v>3.8035175715120393</v>
      </c>
      <c r="J29" s="22" t="s">
        <v>79</v>
      </c>
      <c r="K29" t="s">
        <v>592</v>
      </c>
      <c r="L29" s="336">
        <f>(L28*D8)/(D13*D12) * (180/PI())</f>
        <v>5.594227832791181</v>
      </c>
      <c r="M29" s="22" t="s">
        <v>79</v>
      </c>
      <c r="O29" s="380"/>
      <c r="P29" s="232" t="s">
        <v>525</v>
      </c>
      <c r="Q29" s="344">
        <v>1.1000000000000001</v>
      </c>
      <c r="R29" s="345" t="s">
        <v>77</v>
      </c>
      <c r="S29" s="232" t="s">
        <v>525</v>
      </c>
      <c r="T29" s="344">
        <v>1.1000000000000001</v>
      </c>
      <c r="U29" s="345" t="s">
        <v>77</v>
      </c>
    </row>
    <row r="30" spans="2:26" ht="16" customHeight="1" x14ac:dyDescent="0.2">
      <c r="B30" s="394" t="s">
        <v>491</v>
      </c>
      <c r="C30" s="294" t="s">
        <v>473</v>
      </c>
      <c r="D30" s="260">
        <f>D14/MR_ARB_rear</f>
        <v>8.0573248407643305</v>
      </c>
      <c r="E30" s="48" t="s">
        <v>79</v>
      </c>
      <c r="G30" s="386"/>
      <c r="H30" t="s">
        <v>593</v>
      </c>
      <c r="I30" s="364">
        <f>I27-I29</f>
        <v>4.8306586099647877</v>
      </c>
      <c r="J30" s="22" t="s">
        <v>79</v>
      </c>
      <c r="K30" t="s">
        <v>593</v>
      </c>
      <c r="L30" s="336">
        <f>L27-L29</f>
        <v>1.7324961058412516</v>
      </c>
      <c r="M30" s="22" t="s">
        <v>79</v>
      </c>
      <c r="O30" s="380"/>
      <c r="P30" s="346" t="s">
        <v>526</v>
      </c>
      <c r="Q30" s="349">
        <f>$Q$28/($Q$27*$Q$29)-1</f>
        <v>2.0719586360367082E-3</v>
      </c>
      <c r="R30" s="345" t="s">
        <v>77</v>
      </c>
      <c r="S30" s="346" t="s">
        <v>526</v>
      </c>
      <c r="T30" s="349">
        <f>$T$28/($T$27*$T$29)-1</f>
        <v>5.2379506084521577E-2</v>
      </c>
      <c r="U30" s="345" t="s">
        <v>77</v>
      </c>
    </row>
    <row r="31" spans="2:26" x14ac:dyDescent="0.2">
      <c r="B31" s="395"/>
      <c r="C31" s="293" t="s">
        <v>474</v>
      </c>
      <c r="D31" s="76">
        <f>'Roll Rates'!H28*D30</f>
        <v>36.943576606917183</v>
      </c>
      <c r="E31" s="227" t="s">
        <v>160</v>
      </c>
      <c r="G31" s="387"/>
      <c r="H31" s="24" t="s">
        <v>504</v>
      </c>
      <c r="I31" s="365">
        <f>D11 * (I30*(PI()/180))</f>
        <v>6.1332468458137881E-3</v>
      </c>
      <c r="J31" s="25" t="s">
        <v>74</v>
      </c>
      <c r="K31" s="24" t="s">
        <v>504</v>
      </c>
      <c r="L31" s="367">
        <f>D11 * (L30*(PI()/180))</f>
        <v>2.1996640902373732E-3</v>
      </c>
      <c r="M31" s="25" t="s">
        <v>74</v>
      </c>
      <c r="O31" s="381"/>
      <c r="P31" s="351" t="s">
        <v>591</v>
      </c>
      <c r="Q31" s="352" t="s">
        <v>580</v>
      </c>
      <c r="R31" s="352" t="s">
        <v>581</v>
      </c>
      <c r="S31" s="351" t="s">
        <v>591</v>
      </c>
      <c r="T31" s="352" t="s">
        <v>580</v>
      </c>
      <c r="U31" s="352" t="s">
        <v>581</v>
      </c>
    </row>
    <row r="32" spans="2:26" x14ac:dyDescent="0.2">
      <c r="B32" s="395"/>
      <c r="C32" s="1" t="s">
        <v>485</v>
      </c>
      <c r="D32" s="76">
        <f>(D31*D8)/(D13*D12) * (180/PI())</f>
        <v>6.152068954635264</v>
      </c>
      <c r="E32" s="227" t="s">
        <v>79</v>
      </c>
      <c r="O32" s="379" t="s">
        <v>305</v>
      </c>
      <c r="P32" s="649" t="s">
        <v>601</v>
      </c>
      <c r="Q32" s="650"/>
      <c r="R32" s="650"/>
      <c r="S32" s="650"/>
      <c r="T32" s="650"/>
      <c r="U32" s="651"/>
    </row>
    <row r="33" spans="2:21" x14ac:dyDescent="0.2">
      <c r="B33" s="395"/>
      <c r="C33" s="1" t="s">
        <v>497</v>
      </c>
      <c r="D33" s="76">
        <f>D30-D32</f>
        <v>1.9052558861290665</v>
      </c>
      <c r="E33" s="227" t="s">
        <v>79</v>
      </c>
      <c r="H33" t="s">
        <v>594</v>
      </c>
      <c r="I33" s="336">
        <f>(trackwidth_front_m^2 * TAN(PI()/180) * ('Parameters and Rates'!M9/MR_front^2))/2</f>
        <v>195.58587227940973</v>
      </c>
      <c r="K33" t="s">
        <v>594</v>
      </c>
      <c r="L33">
        <f>(trackwidth_front_m^2 * TAN(PI()/180) * ('Parameters and Rates'!M9/MR_front^2))/2</f>
        <v>195.58587227940973</v>
      </c>
      <c r="O33" s="381"/>
      <c r="P33" s="391"/>
      <c r="Q33" s="392"/>
      <c r="R33" s="392"/>
      <c r="S33" s="392"/>
      <c r="T33" s="392"/>
      <c r="U33" s="393"/>
    </row>
    <row r="34" spans="2:21" x14ac:dyDescent="0.2">
      <c r="B34" s="395"/>
      <c r="C34" s="296" t="s">
        <v>504</v>
      </c>
      <c r="D34" s="198">
        <f>D11 * (D33*(PI()/180))</f>
        <v>2.4190085861096342E-3</v>
      </c>
      <c r="E34" s="297" t="s">
        <v>74</v>
      </c>
      <c r="G34" s="2"/>
      <c r="H34" t="s">
        <v>595</v>
      </c>
      <c r="I34" s="353">
        <f>(trackwidth_rear_m^2 * TAN(PI()/180) * ('Parameters and Rates'!M10/MR_rear^2))/2</f>
        <v>239.9335594692601</v>
      </c>
      <c r="K34" t="s">
        <v>595</v>
      </c>
      <c r="L34">
        <f>(trackwidth_rear_m^2 * TAN(PI()/180) * ('Parameters and Rates'!M10/MR_rear^2))/2</f>
        <v>239.9335594692601</v>
      </c>
      <c r="N34" s="652"/>
      <c r="O34" s="653"/>
      <c r="P34" s="653"/>
      <c r="Q34" s="653"/>
      <c r="R34" s="653"/>
      <c r="S34" s="653"/>
      <c r="T34" s="653"/>
      <c r="U34" s="653"/>
    </row>
    <row r="35" spans="2:21" x14ac:dyDescent="0.2">
      <c r="B35" s="395"/>
      <c r="C35" s="296" t="s">
        <v>523</v>
      </c>
      <c r="D35" s="198">
        <f>D31/D11</f>
        <v>507.8462011024335</v>
      </c>
      <c r="E35" s="297" t="s">
        <v>76</v>
      </c>
      <c r="G35" s="2"/>
      <c r="H35" s="356" t="s">
        <v>596</v>
      </c>
      <c r="I35" s="357">
        <f>((I34+'Roll Rates'!J25)*'Roll Rates'!F7)/(I34+'Roll Rates'!J25+'Roll Rates'!F7)</f>
        <v>278.9599726071213</v>
      </c>
      <c r="J35" s="356"/>
      <c r="K35" s="356" t="s">
        <v>596</v>
      </c>
      <c r="L35" s="356">
        <f>((I34+'Roll Rates'!H25)*'Roll Rates'!F7)/(I34+'Roll Rates'!H25+'Roll Rates'!F7)</f>
        <v>327.57803340975744</v>
      </c>
      <c r="M35" s="356"/>
      <c r="N35" s="652"/>
      <c r="O35" s="653"/>
      <c r="P35" s="653"/>
      <c r="Q35" s="653"/>
      <c r="R35" s="653"/>
      <c r="S35" s="653"/>
      <c r="T35" s="653"/>
      <c r="U35" s="653"/>
    </row>
    <row r="36" spans="2:21" ht="16" customHeight="1" x14ac:dyDescent="0.2">
      <c r="B36" s="394" t="s">
        <v>496</v>
      </c>
      <c r="C36" s="299" t="s">
        <v>473</v>
      </c>
      <c r="D36" s="126">
        <f>D15/MR_ARB_rear</f>
        <v>10.254777070063694</v>
      </c>
      <c r="E36" s="4" t="s">
        <v>79</v>
      </c>
      <c r="H36" t="s">
        <v>597</v>
      </c>
      <c r="I36" s="336">
        <f>((I34+'Roll Rates'!J26)*'Roll Rates'!F8)/(I34+'Roll Rates'!J26+'Roll Rates'!F8)</f>
        <v>284.70241254029332</v>
      </c>
      <c r="K36" t="s">
        <v>597</v>
      </c>
      <c r="L36">
        <f>((I34+'Roll Rates'!H26)*'Roll Rates'!F8)/(I34+'Roll Rates'!H26+'Roll Rates'!F8)</f>
        <v>336.66977789001271</v>
      </c>
      <c r="O36" s="305"/>
    </row>
    <row r="37" spans="2:21" x14ac:dyDescent="0.2">
      <c r="B37" s="395"/>
      <c r="C37" s="293" t="s">
        <v>474</v>
      </c>
      <c r="D37" s="76">
        <f>'Roll Rates'!J28*D36</f>
        <v>27.127419795838758</v>
      </c>
      <c r="E37" s="6" t="s">
        <v>160</v>
      </c>
      <c r="H37" t="s">
        <v>598</v>
      </c>
      <c r="I37" s="336">
        <f>I35+I36</f>
        <v>563.66238514741462</v>
      </c>
      <c r="K37" t="s">
        <v>598</v>
      </c>
      <c r="L37">
        <f>L35+L36</f>
        <v>664.24781129977009</v>
      </c>
    </row>
    <row r="38" spans="2:21" x14ac:dyDescent="0.2">
      <c r="B38" s="395"/>
      <c r="C38" s="1" t="s">
        <v>485</v>
      </c>
      <c r="D38" s="76">
        <f>(D37*D8)/(D13*D12) * (180/PI())</f>
        <v>4.5174228505555636</v>
      </c>
      <c r="E38" s="6" t="s">
        <v>79</v>
      </c>
      <c r="G38" s="2"/>
    </row>
    <row r="39" spans="2:21" x14ac:dyDescent="0.2">
      <c r="B39" s="395"/>
      <c r="C39" s="1" t="s">
        <v>497</v>
      </c>
      <c r="D39" s="76">
        <f>D36-D38</f>
        <v>5.7373542195081306</v>
      </c>
      <c r="E39" s="6" t="s">
        <v>79</v>
      </c>
      <c r="G39" s="654" t="s">
        <v>600</v>
      </c>
      <c r="H39" s="655"/>
      <c r="I39" s="655"/>
      <c r="J39" s="655"/>
      <c r="K39" s="655"/>
      <c r="L39" s="655"/>
      <c r="M39" s="656"/>
    </row>
    <row r="40" spans="2:21" x14ac:dyDescent="0.2">
      <c r="B40" s="395"/>
      <c r="C40" s="296" t="s">
        <v>504</v>
      </c>
      <c r="D40" s="198">
        <f>D11 * (D39*(PI()/180))</f>
        <v>7.2844331407578341E-3</v>
      </c>
      <c r="E40" s="168" t="s">
        <v>74</v>
      </c>
      <c r="G40" s="2"/>
    </row>
    <row r="41" spans="2:21" x14ac:dyDescent="0.2">
      <c r="B41" s="396"/>
      <c r="C41" s="300" t="s">
        <v>523</v>
      </c>
      <c r="D41" s="192">
        <f>D37/D11</f>
        <v>372.90804936434313</v>
      </c>
      <c r="E41" s="183" t="s">
        <v>76</v>
      </c>
      <c r="G41" s="2"/>
    </row>
  </sheetData>
  <mergeCells count="32">
    <mergeCell ref="B2:E2"/>
    <mergeCell ref="G2:J2"/>
    <mergeCell ref="G3:H3"/>
    <mergeCell ref="I3:J3"/>
    <mergeCell ref="B13:B15"/>
    <mergeCell ref="B3:B7"/>
    <mergeCell ref="B8:B12"/>
    <mergeCell ref="G17:M17"/>
    <mergeCell ref="B36:B41"/>
    <mergeCell ref="G6:H6"/>
    <mergeCell ref="I6:J6"/>
    <mergeCell ref="B30:B35"/>
    <mergeCell ref="B24:B29"/>
    <mergeCell ref="B18:B23"/>
    <mergeCell ref="B17:E17"/>
    <mergeCell ref="G10:J10"/>
    <mergeCell ref="G11:H11"/>
    <mergeCell ref="I11:J11"/>
    <mergeCell ref="G39:M39"/>
    <mergeCell ref="O17:U17"/>
    <mergeCell ref="P32:U32"/>
    <mergeCell ref="P33:U33"/>
    <mergeCell ref="O19:O26"/>
    <mergeCell ref="O27:O31"/>
    <mergeCell ref="O32:O33"/>
    <mergeCell ref="P18:R18"/>
    <mergeCell ref="S18:U18"/>
    <mergeCell ref="G22:G26"/>
    <mergeCell ref="G27:G31"/>
    <mergeCell ref="H18:J18"/>
    <mergeCell ref="K18:M18"/>
    <mergeCell ref="G19:G21"/>
  </mergeCells>
  <conditionalFormatting sqref="Q24:Q25">
    <cfRule type="iconSet" priority="29">
      <iconSet>
        <cfvo type="percent" val="0"/>
        <cfvo type="num" val="0"/>
        <cfvo type="num" val="1" gte="0"/>
      </iconSet>
    </cfRule>
  </conditionalFormatting>
  <conditionalFormatting sqref="Q26">
    <cfRule type="expression" dxfId="13" priority="10">
      <formula>AND(Q24&gt;1,Q25&gt;1)</formula>
    </cfRule>
    <cfRule type="expression" dxfId="12" priority="11">
      <formula>AND(Q24&gt;0,Q25&gt;0)</formula>
    </cfRule>
    <cfRule type="expression" dxfId="11" priority="12">
      <formula>OR(Q24&lt;0,Q26&lt;0)</formula>
    </cfRule>
  </conditionalFormatting>
  <conditionalFormatting sqref="Q31">
    <cfRule type="expression" dxfId="10" priority="8" stopIfTrue="1">
      <formula>Q30 &lt; 0</formula>
    </cfRule>
    <cfRule type="expression" dxfId="9" priority="9" stopIfTrue="1">
      <formula>Q30 &gt; 0</formula>
    </cfRule>
  </conditionalFormatting>
  <conditionalFormatting sqref="R31">
    <cfRule type="expression" dxfId="8" priority="5" stopIfTrue="1">
      <formula>OR(($H$12&gt;$H$7), ($H$13&gt;$H$8))</formula>
    </cfRule>
    <cfRule type="expression" dxfId="7" priority="6">
      <formula>AND(($H$12&lt;=$H$7), ($H$13&lt;=$H$8))</formula>
    </cfRule>
  </conditionalFormatting>
  <conditionalFormatting sqref="T24:T25 Q30 S30">
    <cfRule type="iconSet" priority="28">
      <iconSet>
        <cfvo type="percent" val="0"/>
        <cfvo type="num" val="0"/>
        <cfvo type="num" val="1" gte="0"/>
      </iconSet>
    </cfRule>
  </conditionalFormatting>
  <conditionalFormatting sqref="T26">
    <cfRule type="expression" dxfId="6" priority="18">
      <formula>OR(T24&lt;0, T25&lt;0)</formula>
    </cfRule>
    <cfRule type="expression" dxfId="5" priority="19">
      <formula>AND(T24&gt;1, T25&gt;1)</formula>
    </cfRule>
    <cfRule type="expression" dxfId="4" priority="20">
      <formula>AND(T24=0, T25=0)</formula>
    </cfRule>
  </conditionalFormatting>
  <conditionalFormatting sqref="T30">
    <cfRule type="iconSet" priority="27">
      <iconSet>
        <cfvo type="percent" val="0"/>
        <cfvo type="num" val="0"/>
        <cfvo type="num" val="1" gte="0"/>
      </iconSet>
    </cfRule>
  </conditionalFormatting>
  <conditionalFormatting sqref="T31">
    <cfRule type="expression" dxfId="3" priority="1" stopIfTrue="1">
      <formula>$T$30&gt;0</formula>
    </cfRule>
    <cfRule type="expression" dxfId="2" priority="2">
      <formula>$T$30&lt;0</formula>
    </cfRule>
  </conditionalFormatting>
  <conditionalFormatting sqref="U31">
    <cfRule type="expression" dxfId="1" priority="3" stopIfTrue="1">
      <formula>OR(($J$12&gt;$J$7), ($J$13&gt;$J$8))</formula>
    </cfRule>
    <cfRule type="expression" dxfId="0" priority="4">
      <formula>AND(($J$12&lt;=$J$7), ($J$13&lt;=$J$8))</formula>
    </cfRule>
  </conditionalFormatting>
  <pageMargins left="0.7" right="0.7" top="0.75" bottom="0.75" header="0.3" footer="0.3"/>
  <pageSetup scale="6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4093-61AC-CD4B-AF60-3D8D81ED5370}">
  <dimension ref="B2:I31"/>
  <sheetViews>
    <sheetView zoomScale="121" zoomScaleNormal="121" workbookViewId="0"/>
  </sheetViews>
  <sheetFormatPr baseColWidth="10" defaultRowHeight="16" x14ac:dyDescent="0.2"/>
  <cols>
    <col min="1" max="1" width="2.6640625" style="2" customWidth="1"/>
    <col min="2" max="2" width="33.5" style="2" bestFit="1" customWidth="1"/>
    <col min="3" max="6" width="10.83203125" style="2"/>
    <col min="7" max="7" width="20.83203125" style="2" customWidth="1"/>
    <col min="8" max="16384" width="10.83203125" style="2"/>
  </cols>
  <sheetData>
    <row r="2" spans="2:9" ht="25" customHeight="1" x14ac:dyDescent="0.2">
      <c r="B2" s="600" t="s">
        <v>348</v>
      </c>
      <c r="C2" s="601"/>
      <c r="D2" s="601"/>
      <c r="E2" s="601"/>
      <c r="F2" s="601"/>
      <c r="G2" s="602"/>
    </row>
    <row r="3" spans="2:9" ht="16" customHeight="1" x14ac:dyDescent="0.2">
      <c r="B3" s="7" t="s">
        <v>338</v>
      </c>
      <c r="C3" s="29">
        <f>a_y</f>
        <v>2.2999999999999998</v>
      </c>
      <c r="D3" s="2" t="s">
        <v>327</v>
      </c>
      <c r="E3" s="423" t="s">
        <v>368</v>
      </c>
      <c r="F3" s="605"/>
      <c r="G3" s="424"/>
    </row>
    <row r="4" spans="2:9" x14ac:dyDescent="0.2">
      <c r="B4" s="7" t="s">
        <v>391</v>
      </c>
      <c r="C4" s="76">
        <f>totalSprungWeight_lbf * weightDist / 2</f>
        <v>112.5</v>
      </c>
      <c r="D4" s="2" t="s">
        <v>75</v>
      </c>
      <c r="E4" s="425"/>
      <c r="F4" s="603"/>
      <c r="G4" s="426"/>
    </row>
    <row r="5" spans="2:9" x14ac:dyDescent="0.2">
      <c r="B5" s="177" t="s">
        <v>399</v>
      </c>
      <c r="C5" s="191">
        <f>((totalSprungWeight_N/9.8) * a_y * 9.8 * cg_m) / trackwidth_front_m * 0.2248089431</f>
        <v>232.28693181848101</v>
      </c>
      <c r="D5" s="180" t="s">
        <v>75</v>
      </c>
      <c r="E5" s="425"/>
      <c r="F5" s="603"/>
      <c r="G5" s="426"/>
      <c r="I5" s="108"/>
    </row>
    <row r="6" spans="2:9" x14ac:dyDescent="0.2">
      <c r="B6" s="115" t="s">
        <v>400</v>
      </c>
      <c r="C6" s="198">
        <f>((totalSprungWeight_N/9.8) * a_y * 9.8 * cg_m * (LLTD/100)) / trackwidth_front_m * 0.2248089431</f>
        <v>111.49772727287089</v>
      </c>
      <c r="D6" s="11" t="s">
        <v>75</v>
      </c>
      <c r="E6" s="425"/>
      <c r="F6" s="603"/>
      <c r="G6" s="426"/>
      <c r="I6" s="108"/>
    </row>
    <row r="7" spans="2:9" x14ac:dyDescent="0.2">
      <c r="B7" s="115" t="s">
        <v>401</v>
      </c>
      <c r="C7" s="198">
        <f>((totalSprungWeight_N/9.8) * a_y * 9.8 * cg_m * (1 - LLTD/100)) / trackwidth_front_m * 0.2248089431</f>
        <v>120.7892045456101</v>
      </c>
      <c r="D7" s="11" t="s">
        <v>75</v>
      </c>
      <c r="E7" s="425"/>
      <c r="F7" s="603"/>
      <c r="G7" s="426"/>
      <c r="I7" s="108"/>
    </row>
    <row r="8" spans="2:9" x14ac:dyDescent="0.2">
      <c r="B8" s="115" t="s">
        <v>402</v>
      </c>
      <c r="C8" s="198">
        <f>(C4+C6)*C3</f>
        <v>515.19477272760298</v>
      </c>
      <c r="D8" s="11" t="s">
        <v>75</v>
      </c>
      <c r="E8" s="425"/>
      <c r="F8" s="603"/>
      <c r="G8" s="426"/>
      <c r="I8" s="108" t="s">
        <v>404</v>
      </c>
    </row>
    <row r="9" spans="2:9" x14ac:dyDescent="0.2">
      <c r="B9" s="178" t="s">
        <v>403</v>
      </c>
      <c r="C9" s="192">
        <f>(C4+C7)*C3</f>
        <v>536.56517045490318</v>
      </c>
      <c r="D9" s="182" t="s">
        <v>75</v>
      </c>
      <c r="E9" s="434"/>
      <c r="F9" s="604"/>
      <c r="G9" s="435"/>
      <c r="I9" s="108" t="str">
        <f xml:space="preserve"> "due to a " &amp; 'Parameters and Rates'!D21 &amp; "% nominal LLTD, lateral load transfer in front and rear are different"</f>
        <v>due to a 48% nominal LLTD, lateral load transfer in front and rear are different</v>
      </c>
    </row>
    <row r="10" spans="2:9" x14ac:dyDescent="0.2">
      <c r="C10" s="76"/>
    </row>
    <row r="11" spans="2:9" ht="25" customHeight="1" x14ac:dyDescent="0.2">
      <c r="B11" s="606" t="s">
        <v>349</v>
      </c>
      <c r="C11" s="607"/>
      <c r="D11" s="607"/>
      <c r="E11" s="607"/>
      <c r="F11" s="607"/>
      <c r="G11" s="608"/>
    </row>
    <row r="12" spans="2:9" x14ac:dyDescent="0.2">
      <c r="B12" s="7"/>
      <c r="C12" s="568" t="s">
        <v>47</v>
      </c>
      <c r="D12" s="568"/>
      <c r="E12" s="568" t="s">
        <v>324</v>
      </c>
      <c r="F12" s="569"/>
      <c r="G12" s="444" t="s">
        <v>509</v>
      </c>
    </row>
    <row r="13" spans="2:9" x14ac:dyDescent="0.2">
      <c r="B13" s="7" t="s">
        <v>342</v>
      </c>
      <c r="C13" s="29">
        <f>a_x_accel</f>
        <v>1.5</v>
      </c>
      <c r="D13" s="29" t="s">
        <v>327</v>
      </c>
      <c r="E13" s="29">
        <f>a_x_brake</f>
        <v>-1.9</v>
      </c>
      <c r="F13" s="185" t="s">
        <v>327</v>
      </c>
      <c r="G13" s="445"/>
    </row>
    <row r="14" spans="2:9" x14ac:dyDescent="0.2">
      <c r="B14" s="177" t="s">
        <v>343</v>
      </c>
      <c r="C14" s="191">
        <f>((totalSprungWeight_N/9.8) * (a_x_accel*9.8) * cg_m) / wheelbase_m * 0.2248089431</f>
        <v>109.27254098374729</v>
      </c>
      <c r="D14" s="191" t="s">
        <v>75</v>
      </c>
      <c r="E14" s="191">
        <f>((totalSprungWeight_N/9.8) * (a_x_brake*9.8) * cg_m) / wheelbase_m * 0.2248089431</f>
        <v>-138.41188524607989</v>
      </c>
      <c r="F14" s="194" t="s">
        <v>75</v>
      </c>
      <c r="G14" s="445"/>
      <c r="I14" s="108" t="s">
        <v>420</v>
      </c>
    </row>
    <row r="15" spans="2:9" x14ac:dyDescent="0.2">
      <c r="B15" s="178" t="s">
        <v>344</v>
      </c>
      <c r="C15" s="192">
        <f>((totalWeight_lbf*weightDist)/2 + (C14/2))*(C13)</f>
        <v>295.70440573781048</v>
      </c>
      <c r="D15" s="192" t="s">
        <v>75</v>
      </c>
      <c r="E15" s="192">
        <f>((totalWeight_lbf*weightDist)/2 + (E14/2))*(-E13)</f>
        <v>139.25870901622409</v>
      </c>
      <c r="F15" s="195" t="s">
        <v>75</v>
      </c>
      <c r="G15" s="446"/>
      <c r="I15" s="108" t="s">
        <v>421</v>
      </c>
    </row>
    <row r="17" spans="2:9" ht="25" customHeight="1" x14ac:dyDescent="0.2">
      <c r="B17" s="606" t="s">
        <v>350</v>
      </c>
      <c r="C17" s="607"/>
      <c r="D17" s="607"/>
      <c r="E17" s="607"/>
      <c r="F17" s="607"/>
      <c r="G17" s="608"/>
    </row>
    <row r="18" spans="2:9" x14ac:dyDescent="0.2">
      <c r="B18" s="7"/>
      <c r="C18" s="568" t="s">
        <v>351</v>
      </c>
      <c r="D18" s="568"/>
      <c r="E18" s="568" t="s">
        <v>352</v>
      </c>
      <c r="F18" s="569"/>
      <c r="G18" s="444" t="s">
        <v>510</v>
      </c>
    </row>
    <row r="19" spans="2:9" x14ac:dyDescent="0.2">
      <c r="B19" s="7" t="s">
        <v>345</v>
      </c>
      <c r="C19" s="29">
        <f>a_bump</f>
        <v>3.5</v>
      </c>
      <c r="D19" s="2" t="s">
        <v>327</v>
      </c>
      <c r="E19" s="29">
        <f>a_bump</f>
        <v>3.5</v>
      </c>
      <c r="F19" s="6" t="s">
        <v>327</v>
      </c>
      <c r="G19" s="445"/>
    </row>
    <row r="20" spans="2:9" x14ac:dyDescent="0.2">
      <c r="B20" s="10" t="s">
        <v>346</v>
      </c>
      <c r="C20" s="33">
        <f>((totalWeight_lbf*weightDist)/2) + 'Load Transfer'!C5</f>
        <v>374.78693181848098</v>
      </c>
      <c r="D20" s="33" t="s">
        <v>75</v>
      </c>
      <c r="E20" s="33"/>
      <c r="F20" s="9" t="s">
        <v>75</v>
      </c>
      <c r="G20" s="445"/>
    </row>
    <row r="21" spans="2:9" x14ac:dyDescent="0.2">
      <c r="B21" s="178" t="s">
        <v>347</v>
      </c>
      <c r="C21" s="192">
        <f>C20*C19</f>
        <v>1311.7542613646833</v>
      </c>
      <c r="D21" s="192" t="s">
        <v>75</v>
      </c>
      <c r="E21" s="192"/>
      <c r="F21" s="183" t="s">
        <v>75</v>
      </c>
      <c r="G21" s="446"/>
    </row>
    <row r="23" spans="2:9" ht="25" customHeight="1" x14ac:dyDescent="0.2">
      <c r="B23" s="600" t="s">
        <v>367</v>
      </c>
      <c r="C23" s="601"/>
      <c r="D23" s="601"/>
      <c r="E23" s="601"/>
      <c r="F23" s="601"/>
      <c r="G23" s="602"/>
    </row>
    <row r="24" spans="2:9" ht="16" customHeight="1" x14ac:dyDescent="0.2">
      <c r="B24" s="7" t="s">
        <v>338</v>
      </c>
      <c r="C24" s="29">
        <f>a_y</f>
        <v>2.2999999999999998</v>
      </c>
      <c r="D24" s="6" t="s">
        <v>327</v>
      </c>
      <c r="E24" s="425" t="s">
        <v>392</v>
      </c>
      <c r="F24" s="603"/>
      <c r="G24" s="426"/>
    </row>
    <row r="25" spans="2:9" x14ac:dyDescent="0.2">
      <c r="B25" s="7" t="s">
        <v>9</v>
      </c>
      <c r="C25" s="76">
        <f>totalWeight_N / 9.8</f>
        <v>258.72309394882501</v>
      </c>
      <c r="D25" s="6" t="s">
        <v>92</v>
      </c>
      <c r="E25" s="425"/>
      <c r="F25" s="603"/>
      <c r="G25" s="426"/>
    </row>
    <row r="26" spans="2:9" x14ac:dyDescent="0.2">
      <c r="B26" s="7" t="s">
        <v>174</v>
      </c>
      <c r="C26" s="76">
        <f>totalSprungWeight_N / 9.8</f>
        <v>204.255074170125</v>
      </c>
      <c r="D26" s="6" t="s">
        <v>92</v>
      </c>
      <c r="E26" s="425"/>
      <c r="F26" s="603"/>
      <c r="G26" s="426"/>
    </row>
    <row r="27" spans="2:9" x14ac:dyDescent="0.2">
      <c r="B27" s="7" t="s">
        <v>245</v>
      </c>
      <c r="C27" s="76">
        <f>cg_m</f>
        <v>0.25082500000000002</v>
      </c>
      <c r="D27" s="6" t="s">
        <v>74</v>
      </c>
      <c r="E27" s="425"/>
      <c r="F27" s="603"/>
      <c r="G27" s="426"/>
    </row>
    <row r="28" spans="2:9" x14ac:dyDescent="0.2">
      <c r="B28" s="7" t="s">
        <v>340</v>
      </c>
      <c r="C28" s="76">
        <f>trackwidth_front_m</f>
        <v>1.1175999999999999</v>
      </c>
      <c r="D28" s="6" t="s">
        <v>74</v>
      </c>
      <c r="E28" s="425"/>
      <c r="F28" s="603"/>
      <c r="G28" s="426"/>
    </row>
    <row r="29" spans="2:9" x14ac:dyDescent="0.2">
      <c r="B29" s="7" t="s">
        <v>339</v>
      </c>
      <c r="C29" s="2">
        <f>weightDist</f>
        <v>0.5</v>
      </c>
      <c r="D29" s="6" t="s">
        <v>77</v>
      </c>
      <c r="E29" s="425"/>
      <c r="F29" s="603"/>
      <c r="G29" s="426"/>
    </row>
    <row r="30" spans="2:9" x14ac:dyDescent="0.2">
      <c r="B30" s="10" t="s">
        <v>365</v>
      </c>
      <c r="C30" s="8">
        <v>1.4</v>
      </c>
      <c r="D30" s="9" t="s">
        <v>77</v>
      </c>
      <c r="E30" s="425"/>
      <c r="F30" s="603"/>
      <c r="G30" s="426"/>
      <c r="I30" s="108" t="s">
        <v>422</v>
      </c>
    </row>
    <row r="31" spans="2:9" x14ac:dyDescent="0.2">
      <c r="B31" s="178" t="s">
        <v>366</v>
      </c>
      <c r="C31" s="192">
        <f>((C29*(C26*C24*9.8*C27)/C28) + (0.25*(C25*9.8))) * C30 * 0.2248089431</f>
        <v>362.1008522731936</v>
      </c>
      <c r="D31" s="183" t="s">
        <v>75</v>
      </c>
      <c r="E31" s="434"/>
      <c r="F31" s="604"/>
      <c r="G31" s="435"/>
      <c r="I31" s="108" t="s">
        <v>393</v>
      </c>
    </row>
  </sheetData>
  <mergeCells count="12">
    <mergeCell ref="B23:G23"/>
    <mergeCell ref="E24:G31"/>
    <mergeCell ref="G18:G21"/>
    <mergeCell ref="G12:G15"/>
    <mergeCell ref="B2:G2"/>
    <mergeCell ref="C12:D12"/>
    <mergeCell ref="E12:F12"/>
    <mergeCell ref="C18:D18"/>
    <mergeCell ref="E18:F18"/>
    <mergeCell ref="E3:G9"/>
    <mergeCell ref="B11:G11"/>
    <mergeCell ref="B17:G17"/>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FD07-13AB-5746-B542-E6E726ADF601}">
  <dimension ref="B2:K23"/>
  <sheetViews>
    <sheetView zoomScale="120" zoomScaleNormal="120" workbookViewId="0"/>
  </sheetViews>
  <sheetFormatPr baseColWidth="10" defaultRowHeight="16" x14ac:dyDescent="0.2"/>
  <cols>
    <col min="1" max="1" width="2.6640625" style="2" customWidth="1"/>
    <col min="2" max="2" width="6.6640625" style="2" customWidth="1"/>
    <col min="3" max="3" width="26" style="2" customWidth="1"/>
    <col min="4" max="16384" width="10.83203125" style="2"/>
  </cols>
  <sheetData>
    <row r="2" spans="2:11" ht="25" customHeight="1" x14ac:dyDescent="0.2">
      <c r="B2" s="609" t="s">
        <v>208</v>
      </c>
      <c r="C2" s="610"/>
      <c r="D2" s="610"/>
      <c r="E2" s="610"/>
      <c r="F2" s="610"/>
      <c r="G2" s="611"/>
    </row>
    <row r="3" spans="2:11" x14ac:dyDescent="0.2">
      <c r="B3" s="397" t="s">
        <v>209</v>
      </c>
      <c r="C3" s="5" t="s">
        <v>27</v>
      </c>
      <c r="D3" s="31">
        <v>3</v>
      </c>
      <c r="E3" s="3" t="s">
        <v>81</v>
      </c>
      <c r="F3" s="19"/>
      <c r="G3" s="14"/>
      <c r="K3" s="75"/>
    </row>
    <row r="4" spans="2:11" x14ac:dyDescent="0.2">
      <c r="B4" s="548"/>
      <c r="C4" s="10" t="s">
        <v>28</v>
      </c>
      <c r="D4" s="32">
        <v>3.3</v>
      </c>
      <c r="E4" s="8" t="s">
        <v>81</v>
      </c>
      <c r="F4" s="20"/>
      <c r="G4" s="18"/>
      <c r="K4" s="75"/>
    </row>
    <row r="5" spans="2:11" x14ac:dyDescent="0.2">
      <c r="B5" s="397" t="s">
        <v>514</v>
      </c>
      <c r="C5" s="5" t="s">
        <v>29</v>
      </c>
      <c r="D5" s="31">
        <f>F5*0.0057101471</f>
        <v>103.6006321437129</v>
      </c>
      <c r="E5" s="3" t="s">
        <v>82</v>
      </c>
      <c r="F5" s="69">
        <f>4*PI()^2*D3^2*(0.25*(totalSprungWeight_N/9.8))</f>
        <v>18143.25101076869</v>
      </c>
      <c r="G5" s="14" t="s">
        <v>83</v>
      </c>
      <c r="K5" s="75"/>
    </row>
    <row r="6" spans="2:11" x14ac:dyDescent="0.2">
      <c r="B6" s="387"/>
      <c r="C6" s="10" t="s">
        <v>30</v>
      </c>
      <c r="D6" s="32">
        <f>F6*0.0057101471</f>
        <v>125.35676489389259</v>
      </c>
      <c r="E6" s="8" t="s">
        <v>82</v>
      </c>
      <c r="F6" s="70">
        <f>4*PI()^2*D4^2*(0.25*(totalSprungWeight_N/9.8))</f>
        <v>21953.333723030111</v>
      </c>
      <c r="G6" s="18" t="s">
        <v>83</v>
      </c>
      <c r="K6" s="75"/>
    </row>
    <row r="7" spans="2:11" x14ac:dyDescent="0.2">
      <c r="B7" s="397" t="s">
        <v>513</v>
      </c>
      <c r="C7" s="3" t="s">
        <v>16</v>
      </c>
      <c r="D7" s="122">
        <v>1.2030000000000001</v>
      </c>
      <c r="E7" s="3" t="s">
        <v>77</v>
      </c>
      <c r="F7" s="66"/>
      <c r="G7" s="14"/>
      <c r="H7" s="2" t="s">
        <v>511</v>
      </c>
      <c r="K7" s="75"/>
    </row>
    <row r="8" spans="2:11" x14ac:dyDescent="0.2">
      <c r="B8" s="387"/>
      <c r="C8" s="8" t="s">
        <v>15</v>
      </c>
      <c r="D8" s="109">
        <v>1.1819999999999999</v>
      </c>
      <c r="E8" s="8" t="s">
        <v>77</v>
      </c>
      <c r="F8" s="67"/>
      <c r="G8" s="18"/>
      <c r="H8" s="2" t="s">
        <v>512</v>
      </c>
      <c r="K8" s="75"/>
    </row>
    <row r="9" spans="2:11" x14ac:dyDescent="0.2">
      <c r="B9" s="385" t="s">
        <v>189</v>
      </c>
      <c r="C9" s="2" t="s">
        <v>31</v>
      </c>
      <c r="D9" s="68">
        <f>ROUND((D5*(D7^2)),0)</f>
        <v>150</v>
      </c>
      <c r="E9" s="2" t="s">
        <v>82</v>
      </c>
      <c r="F9" s="30">
        <f>F5*D7^2</f>
        <v>26257.076152043548</v>
      </c>
      <c r="G9" s="16" t="s">
        <v>83</v>
      </c>
    </row>
    <row r="10" spans="2:11" x14ac:dyDescent="0.2">
      <c r="B10" s="386"/>
      <c r="C10" s="2" t="s">
        <v>32</v>
      </c>
      <c r="D10" s="68">
        <f>ROUND((D6*(D8^2)),0)</f>
        <v>175</v>
      </c>
      <c r="E10" s="2" t="s">
        <v>82</v>
      </c>
      <c r="F10" s="30">
        <f>F6*D8^2</f>
        <v>30671.529424454719</v>
      </c>
      <c r="G10" s="16" t="s">
        <v>83</v>
      </c>
    </row>
    <row r="11" spans="2:11" x14ac:dyDescent="0.2">
      <c r="B11" s="387"/>
      <c r="C11" s="612" t="s">
        <v>213</v>
      </c>
      <c r="D11" s="613"/>
      <c r="E11" s="613"/>
      <c r="F11" s="613"/>
      <c r="G11" s="614"/>
    </row>
    <row r="13" spans="2:11" x14ac:dyDescent="0.2">
      <c r="B13" s="108" t="s">
        <v>212</v>
      </c>
    </row>
    <row r="14" spans="2:11" x14ac:dyDescent="0.2">
      <c r="B14" s="2" t="s">
        <v>556</v>
      </c>
    </row>
    <row r="15" spans="2:11" x14ac:dyDescent="0.2">
      <c r="B15" s="2" t="s">
        <v>515</v>
      </c>
    </row>
    <row r="16" spans="2:11" x14ac:dyDescent="0.2">
      <c r="B16" s="2" t="s">
        <v>210</v>
      </c>
    </row>
    <row r="17" spans="2:4" x14ac:dyDescent="0.2">
      <c r="B17" s="2" t="s">
        <v>211</v>
      </c>
    </row>
    <row r="18" spans="2:4" x14ac:dyDescent="0.2">
      <c r="B18" s="2" t="s">
        <v>294</v>
      </c>
    </row>
    <row r="19" spans="2:4" x14ac:dyDescent="0.2">
      <c r="B19" s="2" t="s">
        <v>557</v>
      </c>
    </row>
    <row r="22" spans="2:4" x14ac:dyDescent="0.2">
      <c r="D22" s="76"/>
    </row>
    <row r="23" spans="2:4" x14ac:dyDescent="0.2">
      <c r="D23" s="76"/>
    </row>
  </sheetData>
  <mergeCells count="6">
    <mergeCell ref="B2:G2"/>
    <mergeCell ref="B3:B4"/>
    <mergeCell ref="B5:B6"/>
    <mergeCell ref="B7:B8"/>
    <mergeCell ref="B9:B11"/>
    <mergeCell ref="C11:G11"/>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73E2-2381-1E48-9456-E0102515BC6E}">
  <dimension ref="B2:F26"/>
  <sheetViews>
    <sheetView zoomScale="120" zoomScaleNormal="120" workbookViewId="0"/>
  </sheetViews>
  <sheetFormatPr baseColWidth="10" defaultRowHeight="16" x14ac:dyDescent="0.2"/>
  <cols>
    <col min="1" max="1" width="2.6640625" style="2" customWidth="1"/>
    <col min="2" max="2" width="26.33203125" style="2" bestFit="1" customWidth="1"/>
    <col min="3" max="3" width="10.83203125" style="2" customWidth="1"/>
    <col min="4" max="16384" width="10.83203125" style="2"/>
  </cols>
  <sheetData>
    <row r="2" spans="2:6" ht="25" customHeight="1" x14ac:dyDescent="0.2">
      <c r="B2" s="615" t="s">
        <v>337</v>
      </c>
      <c r="C2" s="616"/>
      <c r="D2" s="616"/>
      <c r="E2" s="616"/>
      <c r="F2" s="617"/>
    </row>
    <row r="3" spans="2:6" x14ac:dyDescent="0.2">
      <c r="B3" s="186" t="s">
        <v>413</v>
      </c>
      <c r="C3" s="116">
        <v>-136.345</v>
      </c>
      <c r="D3" s="116" t="s">
        <v>73</v>
      </c>
      <c r="E3" s="116">
        <f>CONVERT(C3,D3,F3)</f>
        <v>-3.4631630000000002</v>
      </c>
      <c r="F3" s="6" t="s">
        <v>74</v>
      </c>
    </row>
    <row r="4" spans="2:6" x14ac:dyDescent="0.2">
      <c r="B4" s="186" t="s">
        <v>414</v>
      </c>
      <c r="C4" s="200">
        <v>22</v>
      </c>
      <c r="D4" s="116" t="s">
        <v>73</v>
      </c>
      <c r="E4" s="116">
        <f>CONVERT(C4,D4,F4)</f>
        <v>0.55879999999999996</v>
      </c>
      <c r="F4" s="6" t="s">
        <v>74</v>
      </c>
    </row>
    <row r="5" spans="2:6" x14ac:dyDescent="0.2">
      <c r="B5" s="199" t="s">
        <v>415</v>
      </c>
      <c r="C5" s="179">
        <v>3.7050000000000001</v>
      </c>
      <c r="D5" s="179" t="s">
        <v>73</v>
      </c>
      <c r="E5" s="179">
        <f>CONVERT(C5,D5,F5)</f>
        <v>9.4106999999999996E-2</v>
      </c>
      <c r="F5" s="9" t="s">
        <v>74</v>
      </c>
    </row>
    <row r="7" spans="2:6" ht="25" hidden="1" customHeight="1" x14ac:dyDescent="0.2">
      <c r="B7" s="615" t="s">
        <v>410</v>
      </c>
      <c r="C7" s="616"/>
      <c r="D7" s="616"/>
      <c r="E7" s="616"/>
      <c r="F7" s="617"/>
    </row>
    <row r="8" spans="2:6" ht="16" hidden="1" customHeight="1" x14ac:dyDescent="0.2">
      <c r="B8" s="7" t="s">
        <v>342</v>
      </c>
      <c r="C8" s="29">
        <f>'Parameters and Rates'!M25</f>
        <v>-1.9</v>
      </c>
      <c r="D8" s="2" t="s">
        <v>327</v>
      </c>
      <c r="E8" s="618" t="s">
        <v>407</v>
      </c>
      <c r="F8" s="619"/>
    </row>
    <row r="9" spans="2:6" hidden="1" x14ac:dyDescent="0.2">
      <c r="B9" s="7" t="s">
        <v>341</v>
      </c>
      <c r="C9" s="76">
        <f>-'Load Transfer'!E14 * 4.44822</f>
        <v>615.68651618931744</v>
      </c>
      <c r="D9" s="2" t="s">
        <v>76</v>
      </c>
      <c r="E9" s="620"/>
      <c r="F9" s="621"/>
    </row>
    <row r="10" spans="2:6" hidden="1" x14ac:dyDescent="0.2">
      <c r="B10" s="7" t="s">
        <v>405</v>
      </c>
      <c r="C10" s="76">
        <f>C9*'Parameters and Rates'!F3</f>
        <v>953.94468818372854</v>
      </c>
      <c r="D10" s="2" t="s">
        <v>160</v>
      </c>
      <c r="E10" s="620"/>
      <c r="F10" s="621"/>
    </row>
    <row r="11" spans="2:6" hidden="1" x14ac:dyDescent="0.2">
      <c r="B11" s="7" t="s">
        <v>406</v>
      </c>
      <c r="C11" s="76">
        <f>'Parameters and Rates'!K5*(0.4991354-ABS(E3)) + 'Parameters and Rates'!M6*(2.0485354-ABS(E3))</f>
        <v>-31440.10408997559</v>
      </c>
      <c r="D11" s="2" t="s">
        <v>83</v>
      </c>
      <c r="E11" s="620"/>
      <c r="F11" s="621"/>
    </row>
    <row r="12" spans="2:6" hidden="1" x14ac:dyDescent="0.2">
      <c r="B12" s="178" t="s">
        <v>396</v>
      </c>
      <c r="C12" s="192">
        <f>C10/C11</f>
        <v>-3.0341651715074497E-2</v>
      </c>
      <c r="D12" s="182" t="s">
        <v>80</v>
      </c>
      <c r="E12" s="622"/>
      <c r="F12" s="623"/>
    </row>
    <row r="13" spans="2:6" hidden="1" x14ac:dyDescent="0.2"/>
    <row r="14" spans="2:6" ht="25" customHeight="1" x14ac:dyDescent="0.2">
      <c r="B14" s="615" t="s">
        <v>411</v>
      </c>
      <c r="C14" s="616"/>
      <c r="D14" s="616"/>
      <c r="E14" s="616"/>
      <c r="F14" s="617"/>
    </row>
    <row r="15" spans="2:6" x14ac:dyDescent="0.2">
      <c r="B15" s="7"/>
      <c r="C15" s="568" t="s">
        <v>417</v>
      </c>
      <c r="D15" s="568"/>
      <c r="E15" s="568" t="s">
        <v>418</v>
      </c>
      <c r="F15" s="569"/>
    </row>
    <row r="16" spans="2:6" x14ac:dyDescent="0.2">
      <c r="B16" s="7" t="s">
        <v>342</v>
      </c>
      <c r="C16" s="29">
        <f>'Parameters and Rates'!M25</f>
        <v>-1.9</v>
      </c>
      <c r="D16" s="2" t="s">
        <v>327</v>
      </c>
      <c r="E16" s="29">
        <f>'Parameters and Rates'!M24</f>
        <v>1.5</v>
      </c>
      <c r="F16" s="6" t="s">
        <v>327</v>
      </c>
    </row>
    <row r="17" spans="2:6" x14ac:dyDescent="0.2">
      <c r="B17" s="7" t="s">
        <v>341</v>
      </c>
      <c r="C17" s="76">
        <f>'Load Transfer'!E14</f>
        <v>-138.41188524607989</v>
      </c>
      <c r="D17" s="2" t="s">
        <v>75</v>
      </c>
      <c r="E17" s="76">
        <f>'Load Transfer'!C14</f>
        <v>109.27254098374729</v>
      </c>
      <c r="F17" s="6" t="s">
        <v>75</v>
      </c>
    </row>
    <row r="18" spans="2:6" x14ac:dyDescent="0.2">
      <c r="B18" s="7" t="s">
        <v>355</v>
      </c>
      <c r="C18" s="76">
        <f>(-C17/2)/'Parameters and Rates'!K5 * (100-'Parameters and Rates'!D26)/100</f>
        <v>0.50662210297196397</v>
      </c>
      <c r="D18" s="2" t="s">
        <v>73</v>
      </c>
      <c r="E18" s="76">
        <f>(-E17/2)/'Parameters and Rates'!K5 * (100-'Parameters and Rates'!D27)/100</f>
        <v>-0.45329346055386244</v>
      </c>
      <c r="F18" s="6" t="s">
        <v>73</v>
      </c>
    </row>
    <row r="19" spans="2:6" x14ac:dyDescent="0.2">
      <c r="B19" s="7" t="s">
        <v>408</v>
      </c>
      <c r="C19" s="76">
        <f>(-C17/2)/'Parameters and Rates'!K6</f>
        <v>0.5506420257618333</v>
      </c>
      <c r="D19" s="2" t="s">
        <v>73</v>
      </c>
      <c r="E19" s="76">
        <f>(-E17/2)/'Parameters and Rates'!K6</f>
        <v>-0.43471738875934207</v>
      </c>
      <c r="F19" s="6" t="s">
        <v>73</v>
      </c>
    </row>
    <row r="20" spans="2:6" x14ac:dyDescent="0.2">
      <c r="B20" s="7" t="s">
        <v>409</v>
      </c>
      <c r="C20" s="76">
        <f>ATAN((C18+C19)/'Parameters and Rates'!D3) * (180/PI())</f>
        <v>0.99296242037152105</v>
      </c>
      <c r="D20" s="2" t="s">
        <v>79</v>
      </c>
      <c r="E20" s="76">
        <f>ATAN((E18+E19)/'Parameters and Rates'!D3) * (180/PI())</f>
        <v>-0.8340275431430324</v>
      </c>
      <c r="F20" s="6" t="s">
        <v>79</v>
      </c>
    </row>
    <row r="21" spans="2:6" x14ac:dyDescent="0.2">
      <c r="B21" s="178" t="s">
        <v>396</v>
      </c>
      <c r="C21" s="192">
        <f>C20/C16</f>
        <v>-0.52261180019553743</v>
      </c>
      <c r="D21" s="182" t="s">
        <v>80</v>
      </c>
      <c r="E21" s="192">
        <f>E20/E16</f>
        <v>-0.55601836209535493</v>
      </c>
      <c r="F21" s="183" t="s">
        <v>80</v>
      </c>
    </row>
    <row r="22" spans="2:6" hidden="1" x14ac:dyDescent="0.2"/>
    <row r="23" spans="2:6" ht="25" hidden="1" customHeight="1" x14ac:dyDescent="0.2">
      <c r="B23" s="615" t="s">
        <v>412</v>
      </c>
      <c r="C23" s="616"/>
      <c r="D23" s="616"/>
      <c r="E23" s="616"/>
      <c r="F23" s="617"/>
    </row>
    <row r="24" spans="2:6" hidden="1" x14ac:dyDescent="0.2">
      <c r="B24" s="7" t="s">
        <v>406</v>
      </c>
      <c r="C24" s="29">
        <f>(((E3^2) * (2 * ('Parameters and Rates'!M5 / ('Parameters and Rates'!D17^2)))) + ((('Parameters and Rates'!F3 - ABS(Pitch!E3))^2) * (2 * ('Parameters and Rates'!M6 / ('Parameters and Rates'!D18^2))))) * (PI()/180)</f>
        <v>7151.36027212511</v>
      </c>
      <c r="D24" s="2" t="s">
        <v>87</v>
      </c>
      <c r="E24" s="450" t="s">
        <v>416</v>
      </c>
      <c r="F24" s="451"/>
    </row>
    <row r="25" spans="2:6" hidden="1" x14ac:dyDescent="0.2">
      <c r="B25" s="178" t="s">
        <v>396</v>
      </c>
      <c r="C25" s="192">
        <f>(('Parameters and Rates'!F14 / 9.8) * 9.8 * ('Parameters and Rates'!F8 - Pitch!E5)) / C24</f>
        <v>4.3866112999220705E-2</v>
      </c>
      <c r="D25" s="182" t="s">
        <v>80</v>
      </c>
      <c r="E25" s="453"/>
      <c r="F25" s="454"/>
    </row>
    <row r="26" spans="2:6" hidden="1" x14ac:dyDescent="0.2"/>
  </sheetData>
  <mergeCells count="8">
    <mergeCell ref="B2:F2"/>
    <mergeCell ref="E24:F25"/>
    <mergeCell ref="C15:D15"/>
    <mergeCell ref="E15:F15"/>
    <mergeCell ref="B14:F14"/>
    <mergeCell ref="B23:F23"/>
    <mergeCell ref="B7:F7"/>
    <mergeCell ref="E8:F12"/>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B85F-64E9-7B49-8D35-24A6EDD6D7C0}">
  <dimension ref="B2:G25"/>
  <sheetViews>
    <sheetView zoomScale="120" zoomScaleNormal="120" workbookViewId="0"/>
  </sheetViews>
  <sheetFormatPr baseColWidth="10" defaultRowHeight="16" x14ac:dyDescent="0.2"/>
  <cols>
    <col min="1" max="1" width="2.6640625" style="2" customWidth="1"/>
    <col min="2" max="2" width="6.1640625" style="2" customWidth="1"/>
    <col min="3" max="3" width="41.33203125" style="2" bestFit="1" customWidth="1"/>
    <col min="4" max="5" width="13.5" style="2" customWidth="1"/>
    <col min="6" max="16384" width="10.83203125" style="2"/>
  </cols>
  <sheetData>
    <row r="2" spans="2:7" ht="25" customHeight="1" x14ac:dyDescent="0.2">
      <c r="B2" s="624" t="s">
        <v>451</v>
      </c>
      <c r="C2" s="625"/>
      <c r="D2" s="625"/>
      <c r="E2" s="626"/>
    </row>
    <row r="3" spans="2:7" x14ac:dyDescent="0.2">
      <c r="B3" s="385" t="s">
        <v>23</v>
      </c>
      <c r="C3" s="5" t="s">
        <v>447</v>
      </c>
      <c r="D3" s="126">
        <f>ASIN('Parameters and Rates'!D6/(0.5*'Parameters and Rates'!D4+0.5*10)) * (180/PI())</f>
        <v>3.1847385367204089</v>
      </c>
      <c r="E3" s="225" t="s">
        <v>79</v>
      </c>
      <c r="G3" s="108" t="s">
        <v>450</v>
      </c>
    </row>
    <row r="4" spans="2:7" x14ac:dyDescent="0.2">
      <c r="B4" s="386"/>
      <c r="C4" s="10" t="s">
        <v>448</v>
      </c>
      <c r="D4" s="33">
        <f>D3/'Parameters and Rates'!K23</f>
        <v>1.3846689290088736</v>
      </c>
      <c r="E4" s="226" t="s">
        <v>79</v>
      </c>
      <c r="G4" s="108" t="s">
        <v>180</v>
      </c>
    </row>
    <row r="5" spans="2:7" x14ac:dyDescent="0.2">
      <c r="B5" s="386"/>
      <c r="C5" s="2" t="s">
        <v>446</v>
      </c>
      <c r="D5" s="76">
        <f>('Parameters and Rates'!D4/2 + 7.5/2)</f>
        <v>25.75</v>
      </c>
      <c r="E5" s="77" t="s">
        <v>73</v>
      </c>
      <c r="G5" s="108" t="s">
        <v>454</v>
      </c>
    </row>
    <row r="6" spans="2:7" x14ac:dyDescent="0.2">
      <c r="B6" s="386"/>
      <c r="C6" s="2" t="s">
        <v>452</v>
      </c>
      <c r="D6" s="76">
        <f>('Parameters and Rates'!D4/2 + 7.5/2)</f>
        <v>25.75</v>
      </c>
      <c r="E6" s="77" t="s">
        <v>73</v>
      </c>
      <c r="G6" s="108" t="s">
        <v>455</v>
      </c>
    </row>
    <row r="7" spans="2:7" x14ac:dyDescent="0.2">
      <c r="B7" s="386"/>
      <c r="C7" s="11" t="s">
        <v>449</v>
      </c>
      <c r="D7" s="198">
        <f>TAN(('Parameters and Rates'!K15*'Parameters and Rates'!K23) * (PI()/180)) * D5</f>
        <v>0.72376037811921623</v>
      </c>
      <c r="E7" s="77" t="s">
        <v>73</v>
      </c>
      <c r="G7" s="108"/>
    </row>
    <row r="8" spans="2:7" x14ac:dyDescent="0.2">
      <c r="B8" s="387"/>
      <c r="C8" s="182" t="s">
        <v>453</v>
      </c>
      <c r="D8" s="192">
        <f>TAN(('Parameters and Rates'!K15*'Parameters and Rates'!K23) * (PI()/180)) * D6</f>
        <v>0.72376037811921623</v>
      </c>
      <c r="E8" s="195" t="s">
        <v>73</v>
      </c>
      <c r="G8" s="108" t="s">
        <v>419</v>
      </c>
    </row>
    <row r="9" spans="2:7" ht="16" customHeight="1" x14ac:dyDescent="0.2">
      <c r="B9" s="397" t="s">
        <v>441</v>
      </c>
      <c r="C9" s="2" t="s">
        <v>356</v>
      </c>
      <c r="D9" s="76">
        <f>'Parameters and Rates'!K17 * -'Parameters and Rates'!M25</f>
        <v>0.99296242037152105</v>
      </c>
      <c r="E9" s="6" t="s">
        <v>79</v>
      </c>
    </row>
    <row r="10" spans="2:7" x14ac:dyDescent="0.2">
      <c r="B10" s="547"/>
      <c r="C10" s="2" t="s">
        <v>442</v>
      </c>
      <c r="D10" s="76">
        <f>700 * 0.0393700787</f>
        <v>27.559055089999998</v>
      </c>
      <c r="E10" s="6" t="s">
        <v>73</v>
      </c>
      <c r="G10" s="108" t="s">
        <v>456</v>
      </c>
    </row>
    <row r="11" spans="2:7" x14ac:dyDescent="0.2">
      <c r="B11" s="547"/>
      <c r="C11" s="115" t="s">
        <v>465</v>
      </c>
      <c r="D11" s="198">
        <f>D10*TAN(D9* (PI()/180))</f>
        <v>0.47765902243369801</v>
      </c>
      <c r="E11" s="168" t="s">
        <v>73</v>
      </c>
    </row>
    <row r="12" spans="2:7" x14ac:dyDescent="0.2">
      <c r="B12" s="397" t="s">
        <v>463</v>
      </c>
      <c r="C12" s="3" t="s">
        <v>356</v>
      </c>
      <c r="D12" s="126">
        <f>'Parameters and Rates'!K17 * -'Parameters and Rates'!M27</f>
        <v>0.76823934628744006</v>
      </c>
      <c r="E12" s="4" t="s">
        <v>79</v>
      </c>
    </row>
    <row r="13" spans="2:7" x14ac:dyDescent="0.2">
      <c r="B13" s="547"/>
      <c r="C13" s="2" t="s">
        <v>461</v>
      </c>
      <c r="D13" s="76">
        <f>TAN(('Parameters and Rates'!K15*'Parameters and Rates'!K27) * (PI()/180)) * D5</f>
        <v>0.46250525534666587</v>
      </c>
      <c r="E13" s="6" t="s">
        <v>73</v>
      </c>
    </row>
    <row r="14" spans="2:7" x14ac:dyDescent="0.2">
      <c r="B14" s="547"/>
      <c r="C14" s="2" t="s">
        <v>462</v>
      </c>
      <c r="D14" s="76">
        <f>D10*TAN(D12* (PI()/180))</f>
        <v>0.36954239075012651</v>
      </c>
      <c r="E14" s="6" t="s">
        <v>73</v>
      </c>
    </row>
    <row r="15" spans="2:7" x14ac:dyDescent="0.2">
      <c r="B15" s="387"/>
      <c r="C15" s="182" t="s">
        <v>464</v>
      </c>
      <c r="D15" s="192">
        <f>D13+D14</f>
        <v>0.83204764609679238</v>
      </c>
      <c r="E15" s="183" t="s">
        <v>73</v>
      </c>
    </row>
    <row r="16" spans="2:7" x14ac:dyDescent="0.2">
      <c r="B16" s="1"/>
      <c r="C16" s="11"/>
      <c r="D16" s="198"/>
      <c r="E16" s="11"/>
    </row>
    <row r="19" spans="3:4" x14ac:dyDescent="0.2">
      <c r="C19" s="11"/>
    </row>
    <row r="20" spans="3:4" x14ac:dyDescent="0.2">
      <c r="C20" s="11"/>
    </row>
    <row r="23" spans="3:4" x14ac:dyDescent="0.2">
      <c r="C23" s="11"/>
    </row>
    <row r="25" spans="3:4" x14ac:dyDescent="0.2">
      <c r="D25" s="76"/>
    </row>
  </sheetData>
  <mergeCells count="4">
    <mergeCell ref="B3:B8"/>
    <mergeCell ref="B2:E2"/>
    <mergeCell ref="B12:B15"/>
    <mergeCell ref="B9:B11"/>
  </mergeCell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67C1-679A-1F4E-8C53-D2E1254AE8C3}">
  <sheetPr>
    <pageSetUpPr fitToPage="1"/>
  </sheetPr>
  <dimension ref="B2:H20"/>
  <sheetViews>
    <sheetView zoomScale="120" zoomScaleNormal="120" workbookViewId="0"/>
  </sheetViews>
  <sheetFormatPr baseColWidth="10" defaultRowHeight="16" x14ac:dyDescent="0.2"/>
  <cols>
    <col min="1" max="1" width="2.6640625" style="306" customWidth="1"/>
    <col min="2" max="2" width="21.6640625" style="306" bestFit="1" customWidth="1"/>
    <col min="3" max="3" width="13" style="306" bestFit="1" customWidth="1"/>
    <col min="4" max="4" width="12.83203125" style="306" bestFit="1" customWidth="1"/>
    <col min="5" max="5" width="12.5" style="306" customWidth="1"/>
    <col min="6" max="6" width="15" style="306" bestFit="1" customWidth="1"/>
    <col min="7" max="7" width="15" style="306" customWidth="1"/>
    <col min="8" max="16384" width="10.83203125" style="306"/>
  </cols>
  <sheetData>
    <row r="2" spans="2:8" s="308" customFormat="1" ht="25" customHeight="1" x14ac:dyDescent="0.2">
      <c r="B2" s="627" t="s">
        <v>566</v>
      </c>
      <c r="C2" s="628"/>
      <c r="D2" s="628"/>
      <c r="E2" s="628"/>
      <c r="F2" s="628"/>
      <c r="G2" s="629"/>
    </row>
    <row r="3" spans="2:8" ht="34" x14ac:dyDescent="0.2">
      <c r="B3" s="309" t="s">
        <v>528</v>
      </c>
      <c r="C3" s="309" t="s">
        <v>545</v>
      </c>
      <c r="D3" s="309" t="s">
        <v>546</v>
      </c>
      <c r="E3" s="309" t="s">
        <v>547</v>
      </c>
      <c r="F3" s="309" t="s">
        <v>549</v>
      </c>
      <c r="G3" s="309" t="s">
        <v>548</v>
      </c>
    </row>
    <row r="4" spans="2:8" ht="17" x14ac:dyDescent="0.2">
      <c r="B4" s="316" t="s">
        <v>529</v>
      </c>
      <c r="C4" s="321">
        <v>1.1000000000000001</v>
      </c>
      <c r="D4" s="321">
        <v>1.4319999999999999</v>
      </c>
      <c r="E4" s="321">
        <v>1.35</v>
      </c>
      <c r="F4" s="321">
        <f>C4-D4</f>
        <v>-0.33199999999999985</v>
      </c>
      <c r="G4" s="311">
        <f>C4-E4</f>
        <v>-0.25</v>
      </c>
      <c r="H4" s="307"/>
    </row>
    <row r="5" spans="2:8" ht="17" x14ac:dyDescent="0.2">
      <c r="B5" s="317" t="s">
        <v>530</v>
      </c>
      <c r="C5" s="322">
        <v>0.82399999999999995</v>
      </c>
      <c r="D5" s="322">
        <v>0.96</v>
      </c>
      <c r="E5" s="322">
        <v>0.9</v>
      </c>
      <c r="F5" s="322">
        <f t="shared" ref="F5:F19" si="0">C5-D5</f>
        <v>-0.13600000000000001</v>
      </c>
      <c r="G5" s="312">
        <f t="shared" ref="G5:G19" si="1">C5-E5</f>
        <v>-7.6000000000000068E-2</v>
      </c>
      <c r="H5" s="307"/>
    </row>
    <row r="6" spans="2:8" ht="17" x14ac:dyDescent="0.2">
      <c r="B6" s="318" t="s">
        <v>531</v>
      </c>
      <c r="C6" s="323">
        <v>0.82399999999999995</v>
      </c>
      <c r="D6" s="323">
        <v>0.96</v>
      </c>
      <c r="E6" s="323">
        <v>0.9</v>
      </c>
      <c r="F6" s="323">
        <f t="shared" si="0"/>
        <v>-0.13600000000000001</v>
      </c>
      <c r="G6" s="314">
        <f t="shared" si="1"/>
        <v>-7.6000000000000068E-2</v>
      </c>
      <c r="H6" s="307"/>
    </row>
    <row r="7" spans="2:8" ht="17" x14ac:dyDescent="0.2">
      <c r="B7" s="318" t="s">
        <v>532</v>
      </c>
      <c r="C7" s="324">
        <v>0.61</v>
      </c>
      <c r="D7" s="324">
        <v>0.68</v>
      </c>
      <c r="E7" s="324">
        <v>0.6</v>
      </c>
      <c r="F7" s="324">
        <f t="shared" si="0"/>
        <v>-7.0000000000000062E-2</v>
      </c>
      <c r="G7" s="313">
        <f t="shared" si="1"/>
        <v>1.0000000000000009E-2</v>
      </c>
      <c r="H7" s="307"/>
    </row>
    <row r="8" spans="2:8" ht="17" x14ac:dyDescent="0.2">
      <c r="B8" s="318" t="s">
        <v>533</v>
      </c>
      <c r="C8" s="323">
        <v>0.61</v>
      </c>
      <c r="D8" s="323">
        <v>0.68</v>
      </c>
      <c r="E8" s="323">
        <v>0.6</v>
      </c>
      <c r="F8" s="323">
        <f t="shared" si="0"/>
        <v>-7.0000000000000062E-2</v>
      </c>
      <c r="G8" s="314">
        <f t="shared" si="1"/>
        <v>1.0000000000000009E-2</v>
      </c>
      <c r="H8" s="307"/>
    </row>
    <row r="9" spans="2:8" ht="17" x14ac:dyDescent="0.2">
      <c r="B9" s="319" t="s">
        <v>534</v>
      </c>
      <c r="C9" s="322">
        <v>0.63</v>
      </c>
      <c r="D9" s="322">
        <v>0.71599999999999997</v>
      </c>
      <c r="E9" s="322">
        <v>0.71599999999999997</v>
      </c>
      <c r="F9" s="322">
        <f t="shared" si="0"/>
        <v>-8.5999999999999965E-2</v>
      </c>
      <c r="G9" s="312">
        <f t="shared" si="1"/>
        <v>-8.5999999999999965E-2</v>
      </c>
      <c r="H9" s="307"/>
    </row>
    <row r="10" spans="2:8" ht="17" x14ac:dyDescent="0.2">
      <c r="B10" s="318" t="s">
        <v>535</v>
      </c>
      <c r="C10" s="322">
        <v>0.63</v>
      </c>
      <c r="D10" s="322">
        <v>0.71599999999999997</v>
      </c>
      <c r="E10" s="322">
        <v>0.71599999999999997</v>
      </c>
      <c r="F10" s="323">
        <f t="shared" si="0"/>
        <v>-8.5999999999999965E-2</v>
      </c>
      <c r="G10" s="314">
        <f t="shared" si="1"/>
        <v>-8.5999999999999965E-2</v>
      </c>
      <c r="H10" s="307"/>
    </row>
    <row r="11" spans="2:8" ht="17" x14ac:dyDescent="0.2">
      <c r="B11" s="318" t="s">
        <v>536</v>
      </c>
      <c r="C11" s="322">
        <v>0.63</v>
      </c>
      <c r="D11" s="322">
        <v>0.71599999999999997</v>
      </c>
      <c r="E11" s="322">
        <v>0.71599999999999997</v>
      </c>
      <c r="F11" s="323">
        <f t="shared" si="0"/>
        <v>-8.5999999999999965E-2</v>
      </c>
      <c r="G11" s="312">
        <f t="shared" si="1"/>
        <v>-8.5999999999999965E-2</v>
      </c>
      <c r="H11" s="307"/>
    </row>
    <row r="12" spans="2:8" ht="17" x14ac:dyDescent="0.2">
      <c r="B12" s="319" t="s">
        <v>537</v>
      </c>
      <c r="C12" s="322">
        <v>0.63</v>
      </c>
      <c r="D12" s="322">
        <v>0.71599999999999997</v>
      </c>
      <c r="E12" s="324">
        <v>0.71599999999999997</v>
      </c>
      <c r="F12" s="324">
        <f t="shared" si="0"/>
        <v>-8.5999999999999965E-2</v>
      </c>
      <c r="G12" s="326">
        <f t="shared" si="1"/>
        <v>-8.5999999999999965E-2</v>
      </c>
      <c r="H12" s="307"/>
    </row>
    <row r="13" spans="2:8" ht="17" x14ac:dyDescent="0.2">
      <c r="B13" s="319" t="s">
        <v>538</v>
      </c>
      <c r="C13" s="324">
        <v>0.55000000000000004</v>
      </c>
      <c r="D13" s="324">
        <v>0.19800000000000001</v>
      </c>
      <c r="E13" s="324">
        <v>0.3</v>
      </c>
      <c r="F13" s="324">
        <f t="shared" si="0"/>
        <v>0.35200000000000004</v>
      </c>
      <c r="G13" s="314">
        <f t="shared" si="1"/>
        <v>0.25000000000000006</v>
      </c>
      <c r="H13" s="307"/>
    </row>
    <row r="14" spans="2:8" ht="17" x14ac:dyDescent="0.2">
      <c r="B14" s="317" t="s">
        <v>539</v>
      </c>
      <c r="C14" s="322">
        <v>0.55000000000000004</v>
      </c>
      <c r="D14" s="322">
        <v>0.20300000000000001</v>
      </c>
      <c r="E14" s="322">
        <v>0.3</v>
      </c>
      <c r="F14" s="322">
        <f t="shared" si="0"/>
        <v>0.34700000000000003</v>
      </c>
      <c r="G14" s="312">
        <f t="shared" si="1"/>
        <v>0.25000000000000006</v>
      </c>
      <c r="H14" s="307"/>
    </row>
    <row r="15" spans="2:8" ht="17" x14ac:dyDescent="0.2">
      <c r="B15" s="318" t="s">
        <v>540</v>
      </c>
      <c r="C15" s="324">
        <v>0.223</v>
      </c>
      <c r="D15" s="324">
        <v>0.23899999999999999</v>
      </c>
      <c r="E15" s="324">
        <v>0.2</v>
      </c>
      <c r="F15" s="324">
        <f t="shared" si="0"/>
        <v>-1.5999999999999986E-2</v>
      </c>
      <c r="G15" s="313">
        <f t="shared" si="1"/>
        <v>2.2999999999999993E-2</v>
      </c>
      <c r="H15" s="307"/>
    </row>
    <row r="16" spans="2:8" ht="17" x14ac:dyDescent="0.2">
      <c r="B16" s="318" t="s">
        <v>541</v>
      </c>
      <c r="C16" s="323">
        <v>0.223</v>
      </c>
      <c r="D16" s="323">
        <v>0.23899999999999999</v>
      </c>
      <c r="E16" s="323">
        <v>0.2</v>
      </c>
      <c r="F16" s="323">
        <f t="shared" si="0"/>
        <v>-1.5999999999999986E-2</v>
      </c>
      <c r="G16" s="314">
        <f t="shared" si="1"/>
        <v>2.2999999999999993E-2</v>
      </c>
      <c r="H16" s="307"/>
    </row>
    <row r="17" spans="2:8" ht="17" x14ac:dyDescent="0.2">
      <c r="B17" s="318" t="s">
        <v>542</v>
      </c>
      <c r="C17" s="323">
        <v>0.216</v>
      </c>
      <c r="D17" s="323">
        <v>0.22900000000000001</v>
      </c>
      <c r="E17" s="323">
        <v>0.2</v>
      </c>
      <c r="F17" s="323">
        <f t="shared" si="0"/>
        <v>-1.3000000000000012E-2</v>
      </c>
      <c r="G17" s="314">
        <f t="shared" si="1"/>
        <v>1.5999999999999986E-2</v>
      </c>
      <c r="H17" s="307"/>
    </row>
    <row r="18" spans="2:8" ht="17" x14ac:dyDescent="0.2">
      <c r="B18" s="320" t="s">
        <v>543</v>
      </c>
      <c r="C18" s="325">
        <v>0.216</v>
      </c>
      <c r="D18" s="325">
        <v>0.22900000000000001</v>
      </c>
      <c r="E18" s="325">
        <v>0.2</v>
      </c>
      <c r="F18" s="325">
        <f t="shared" si="0"/>
        <v>-1.3000000000000012E-2</v>
      </c>
      <c r="G18" s="315">
        <f t="shared" si="1"/>
        <v>1.5999999999999986E-2</v>
      </c>
      <c r="H18" s="307"/>
    </row>
    <row r="19" spans="2:8" ht="17" x14ac:dyDescent="0.2">
      <c r="B19" s="310" t="s">
        <v>544</v>
      </c>
      <c r="C19" s="310">
        <f>SUM(C4:C18)</f>
        <v>8.4659999999999975</v>
      </c>
      <c r="D19" s="310">
        <f>SUM(D4:D18)</f>
        <v>8.9130000000000003</v>
      </c>
      <c r="E19" s="310">
        <f>SUM(E4:E18)</f>
        <v>8.6139999999999972</v>
      </c>
      <c r="F19" s="327">
        <f t="shared" si="0"/>
        <v>-0.44700000000000273</v>
      </c>
      <c r="G19" s="328">
        <f t="shared" si="1"/>
        <v>-0.14799999999999969</v>
      </c>
      <c r="H19" s="307"/>
    </row>
    <row r="20" spans="2:8" x14ac:dyDescent="0.2">
      <c r="F20" s="329">
        <f>-ABS(F19/D19)</f>
        <v>-5.0151464153483982E-2</v>
      </c>
      <c r="G20" s="330">
        <f>-ABS(G19/E19)</f>
        <v>-1.7181332714186176E-2</v>
      </c>
    </row>
  </sheetData>
  <mergeCells count="1">
    <mergeCell ref="B2:G2"/>
  </mergeCells>
  <conditionalFormatting sqref="F4:F18">
    <cfRule type="colorScale" priority="2">
      <colorScale>
        <cfvo type="min"/>
        <cfvo type="num" val="0"/>
        <cfvo type="max"/>
        <color rgb="FF57BB8A"/>
        <color rgb="FFFFD666"/>
        <color rgb="FFE67C73"/>
      </colorScale>
    </cfRule>
  </conditionalFormatting>
  <conditionalFormatting sqref="G4:G18">
    <cfRule type="colorScale" priority="1">
      <colorScale>
        <cfvo type="min"/>
        <cfvo type="num" val="0"/>
        <cfvo type="max"/>
        <color rgb="FF57BB8A"/>
        <color rgb="FFFFD666"/>
        <color rgb="FFE67C73"/>
      </colorScale>
    </cfRule>
  </conditionalFormatting>
  <pageMargins left="0.7" right="0.7" top="0.75" bottom="0.75" header="0.3" footer="0.3"/>
  <pageSetup scale="91"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6300-B480-6E4F-ACA9-4C0D4DF39F51}">
  <sheetPr>
    <tabColor rgb="FFC00000"/>
  </sheetPr>
  <dimension ref="B2:H17"/>
  <sheetViews>
    <sheetView zoomScale="117" workbookViewId="0"/>
  </sheetViews>
  <sheetFormatPr baseColWidth="10" defaultRowHeight="16" x14ac:dyDescent="0.2"/>
  <cols>
    <col min="1" max="1" width="2.6640625" style="2" customWidth="1"/>
    <col min="2" max="2" width="26.33203125" style="2" bestFit="1" customWidth="1"/>
    <col min="3" max="5" width="10.83203125" style="2"/>
    <col min="6" max="6" width="10.6640625" style="2" bestFit="1" customWidth="1"/>
    <col min="7" max="16384" width="10.83203125" style="2"/>
  </cols>
  <sheetData>
    <row r="2" spans="2:8" ht="25" customHeight="1" x14ac:dyDescent="0.2">
      <c r="B2" s="630" t="s">
        <v>363</v>
      </c>
      <c r="C2" s="631"/>
      <c r="D2" s="631"/>
      <c r="E2" s="631"/>
      <c r="F2" s="632"/>
      <c r="H2" s="2" t="s">
        <v>364</v>
      </c>
    </row>
    <row r="3" spans="2:8" ht="16" customHeight="1" x14ac:dyDescent="0.2">
      <c r="B3" s="187" t="s">
        <v>359</v>
      </c>
      <c r="C3" s="188" t="s">
        <v>74</v>
      </c>
      <c r="D3" s="190">
        <f>'Parameters and Rates'!F11 / 9.8</f>
        <v>190.63806922545001</v>
      </c>
      <c r="E3" s="189" t="s">
        <v>92</v>
      </c>
      <c r="F3" s="636" t="s">
        <v>386</v>
      </c>
    </row>
    <row r="4" spans="2:8" ht="16" customHeight="1" x14ac:dyDescent="0.2">
      <c r="B4" s="187" t="s">
        <v>1</v>
      </c>
      <c r="C4" s="188" t="s">
        <v>383</v>
      </c>
      <c r="D4" s="190">
        <f>'Parameters and Rates'!F3</f>
        <v>1.5494000000000001</v>
      </c>
      <c r="E4" s="189" t="s">
        <v>74</v>
      </c>
      <c r="F4" s="637"/>
    </row>
    <row r="5" spans="2:8" ht="16" customHeight="1" x14ac:dyDescent="0.2">
      <c r="B5" s="187" t="s">
        <v>381</v>
      </c>
      <c r="C5" s="188" t="s">
        <v>384</v>
      </c>
      <c r="D5" s="190">
        <f>D4 / 2</f>
        <v>0.77470000000000006</v>
      </c>
      <c r="E5" s="189" t="s">
        <v>74</v>
      </c>
      <c r="F5" s="637"/>
    </row>
    <row r="6" spans="2:8" ht="16" customHeight="1" x14ac:dyDescent="0.2">
      <c r="B6" s="187" t="s">
        <v>382</v>
      </c>
      <c r="C6" s="188" t="s">
        <v>385</v>
      </c>
      <c r="D6" s="190">
        <f>D4 / 2</f>
        <v>0.77470000000000006</v>
      </c>
      <c r="E6" s="189" t="s">
        <v>74</v>
      </c>
      <c r="F6" s="637"/>
    </row>
    <row r="7" spans="2:8" ht="16" customHeight="1" x14ac:dyDescent="0.2">
      <c r="B7" s="7" t="s">
        <v>357</v>
      </c>
      <c r="C7" s="2" t="s">
        <v>360</v>
      </c>
      <c r="D7" s="76">
        <f>(D3*9.8) * (D5/D4)</f>
        <v>934.12653920470507</v>
      </c>
      <c r="E7" s="6" t="s">
        <v>76</v>
      </c>
      <c r="F7" s="637"/>
    </row>
    <row r="8" spans="2:8" ht="16" customHeight="1" x14ac:dyDescent="0.2">
      <c r="B8" s="7" t="s">
        <v>358</v>
      </c>
      <c r="C8" s="2" t="s">
        <v>361</v>
      </c>
      <c r="D8" s="76">
        <f>(D3*9.8) * (D6/D4)</f>
        <v>934.12653920470507</v>
      </c>
      <c r="E8" s="6" t="s">
        <v>76</v>
      </c>
      <c r="F8" s="637"/>
    </row>
    <row r="9" spans="2:8" ht="16" customHeight="1" x14ac:dyDescent="0.2">
      <c r="B9" s="7" t="s">
        <v>373</v>
      </c>
      <c r="C9" s="2" t="s">
        <v>377</v>
      </c>
      <c r="D9" s="76">
        <f>2 * Tires!C16</f>
        <v>686.1046567410757</v>
      </c>
      <c r="E9" s="6" t="s">
        <v>362</v>
      </c>
      <c r="F9" s="637"/>
    </row>
    <row r="10" spans="2:8" ht="16" customHeight="1" x14ac:dyDescent="0.2">
      <c r="B10" s="7" t="s">
        <v>375</v>
      </c>
      <c r="C10" s="2" t="s">
        <v>379</v>
      </c>
      <c r="D10" s="76">
        <f>2 * Tires!F16</f>
        <v>939.4893768255846</v>
      </c>
      <c r="E10" s="6" t="s">
        <v>362</v>
      </c>
      <c r="F10" s="637"/>
    </row>
    <row r="11" spans="2:8" ht="16" customHeight="1" x14ac:dyDescent="0.2">
      <c r="B11" s="7" t="s">
        <v>376</v>
      </c>
      <c r="C11" s="2" t="s">
        <v>380</v>
      </c>
      <c r="D11" s="76">
        <f>2 * Tires!C16</f>
        <v>686.1046567410757</v>
      </c>
      <c r="E11" s="6" t="s">
        <v>362</v>
      </c>
      <c r="F11" s="637"/>
    </row>
    <row r="12" spans="2:8" ht="16" customHeight="1" x14ac:dyDescent="0.2">
      <c r="B12" s="7" t="s">
        <v>374</v>
      </c>
      <c r="C12" s="2" t="s">
        <v>378</v>
      </c>
      <c r="D12" s="76">
        <f>2 * Tires!F16</f>
        <v>939.4893768255846</v>
      </c>
      <c r="E12" s="6" t="s">
        <v>362</v>
      </c>
      <c r="F12" s="637"/>
    </row>
    <row r="13" spans="2:8" ht="16" customHeight="1" x14ac:dyDescent="0.2">
      <c r="B13" s="177" t="s">
        <v>371</v>
      </c>
      <c r="C13" s="634">
        <f>D7/D10 - D8/D11</f>
        <v>-0.36720103119235326</v>
      </c>
      <c r="D13" s="634"/>
      <c r="E13" s="181" t="s">
        <v>80</v>
      </c>
      <c r="F13" s="637"/>
    </row>
    <row r="14" spans="2:8" ht="16" customHeight="1" x14ac:dyDescent="0.2">
      <c r="B14" s="178" t="s">
        <v>372</v>
      </c>
      <c r="C14" s="635">
        <f>D7/D9 - D8/D12</f>
        <v>0.36720103119235326</v>
      </c>
      <c r="D14" s="635"/>
      <c r="E14" s="183" t="s">
        <v>80</v>
      </c>
      <c r="F14" s="638"/>
    </row>
    <row r="16" spans="2:8" ht="25" customHeight="1" x14ac:dyDescent="0.2">
      <c r="B16" s="630" t="s">
        <v>388</v>
      </c>
      <c r="C16" s="631"/>
      <c r="D16" s="631"/>
      <c r="E16" s="631"/>
      <c r="F16" s="632"/>
    </row>
    <row r="17" spans="2:6" x14ac:dyDescent="0.2">
      <c r="B17" s="178" t="s">
        <v>389</v>
      </c>
      <c r="C17" s="633">
        <f>SQRT(9.8 * D4) / C14</f>
        <v>10.611845576915831</v>
      </c>
      <c r="D17" s="633"/>
      <c r="E17" s="182" t="s">
        <v>390</v>
      </c>
      <c r="F17" s="183"/>
    </row>
  </sheetData>
  <mergeCells count="6">
    <mergeCell ref="B2:F2"/>
    <mergeCell ref="B16:F16"/>
    <mergeCell ref="C17:D17"/>
    <mergeCell ref="C13:D13"/>
    <mergeCell ref="C14:D14"/>
    <mergeCell ref="F3:F14"/>
  </mergeCells>
  <pageMargins left="0.7" right="0.7" top="0.75" bottom="0.75" header="0.3" footer="0.3"/>
  <pageSetup orientation="portrait" horizontalDpi="0" verticalDpi="0"/>
  <ignoredErrors>
    <ignoredError sqref="D10:D11"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B9D0-2395-7D47-A2E1-50F0F8AFD11C}">
  <sheetPr>
    <tabColor rgb="FFC00000"/>
  </sheetPr>
  <dimension ref="B2:G16"/>
  <sheetViews>
    <sheetView workbookViewId="0"/>
  </sheetViews>
  <sheetFormatPr baseColWidth="10" defaultRowHeight="16" x14ac:dyDescent="0.2"/>
  <cols>
    <col min="1" max="1" width="2.6640625" style="2" customWidth="1"/>
    <col min="2" max="2" width="18" style="2" bestFit="1" customWidth="1"/>
    <col min="3" max="4" width="10.83203125" style="2"/>
    <col min="5" max="5" width="16.33203125" style="2" bestFit="1" customWidth="1"/>
    <col min="6" max="16384" width="10.83203125" style="2"/>
  </cols>
  <sheetData>
    <row r="2" spans="2:7" ht="25" customHeight="1" x14ac:dyDescent="0.2">
      <c r="B2" s="640" t="s">
        <v>143</v>
      </c>
      <c r="C2" s="641"/>
      <c r="D2" s="641"/>
      <c r="E2" s="641"/>
      <c r="F2" s="641"/>
      <c r="G2" s="642"/>
    </row>
    <row r="3" spans="2:7" x14ac:dyDescent="0.2">
      <c r="B3" s="566" t="s">
        <v>460</v>
      </c>
      <c r="C3" s="570"/>
      <c r="D3" s="571"/>
      <c r="E3" s="224" t="s">
        <v>457</v>
      </c>
      <c r="F3" s="221">
        <v>16</v>
      </c>
      <c r="G3" s="222" t="s">
        <v>73</v>
      </c>
    </row>
    <row r="4" spans="2:7" x14ac:dyDescent="0.2">
      <c r="B4" s="566"/>
      <c r="C4" s="570"/>
      <c r="D4" s="571"/>
      <c r="E4" s="220" t="s">
        <v>458</v>
      </c>
      <c r="F4" s="1">
        <v>7.5</v>
      </c>
      <c r="G4" s="223" t="s">
        <v>73</v>
      </c>
    </row>
    <row r="5" spans="2:7" x14ac:dyDescent="0.2">
      <c r="B5" s="567"/>
      <c r="C5" s="576"/>
      <c r="D5" s="577"/>
      <c r="E5" s="42" t="s">
        <v>459</v>
      </c>
      <c r="F5" s="40">
        <v>10</v>
      </c>
      <c r="G5" s="41" t="s">
        <v>73</v>
      </c>
    </row>
    <row r="7" spans="2:7" ht="25" customHeight="1" x14ac:dyDescent="0.2">
      <c r="B7" s="640" t="s">
        <v>144</v>
      </c>
      <c r="C7" s="641"/>
      <c r="D7" s="641"/>
      <c r="E7" s="641"/>
      <c r="F7" s="641"/>
      <c r="G7" s="642"/>
    </row>
    <row r="8" spans="2:7" x14ac:dyDescent="0.2">
      <c r="B8" s="7" t="s">
        <v>134</v>
      </c>
      <c r="C8" s="76">
        <f>'Parameters and Rates'!D13 / 4</f>
        <v>142.5</v>
      </c>
      <c r="D8" s="2" t="s">
        <v>75</v>
      </c>
      <c r="E8" s="19">
        <f>C8*0.2248</f>
        <v>32.033999999999999</v>
      </c>
      <c r="F8" s="14" t="s">
        <v>76</v>
      </c>
      <c r="G8" s="458" t="s">
        <v>423</v>
      </c>
    </row>
    <row r="9" spans="2:7" x14ac:dyDescent="0.2">
      <c r="B9" s="7" t="s">
        <v>65</v>
      </c>
      <c r="C9" s="76">
        <f>'Parameters and Rates'!D13 * 2.3 * 'Parameters and Rates'!F8 / 'Parameters and Rates'!F4</f>
        <v>294.23011363636368</v>
      </c>
      <c r="D9" s="2" t="s">
        <v>76</v>
      </c>
      <c r="E9" s="202">
        <f>C9*0.2248</f>
        <v>66.14292954545455</v>
      </c>
      <c r="F9" s="16" t="s">
        <v>75</v>
      </c>
      <c r="G9" s="459"/>
    </row>
    <row r="10" spans="2:7" x14ac:dyDescent="0.2">
      <c r="B10" s="10" t="s">
        <v>66</v>
      </c>
      <c r="C10" s="33">
        <f>C8+E9</f>
        <v>208.64292954545454</v>
      </c>
      <c r="D10" s="8" t="s">
        <v>75</v>
      </c>
      <c r="E10" s="20">
        <f>C10*0.2248</f>
        <v>46.902930561818181</v>
      </c>
      <c r="F10" s="18" t="s">
        <v>76</v>
      </c>
      <c r="G10" s="469"/>
    </row>
    <row r="11" spans="2:7" ht="20" customHeight="1" x14ac:dyDescent="0.2">
      <c r="B11" s="645" t="s">
        <v>70</v>
      </c>
      <c r="C11" s="646"/>
      <c r="D11" s="647"/>
      <c r="E11" s="645" t="s">
        <v>71</v>
      </c>
      <c r="F11" s="646"/>
      <c r="G11" s="647"/>
    </row>
    <row r="12" spans="2:7" x14ac:dyDescent="0.2">
      <c r="B12" s="7" t="s">
        <v>67</v>
      </c>
      <c r="C12" s="2" t="s">
        <v>69</v>
      </c>
      <c r="D12" s="6" t="s">
        <v>68</v>
      </c>
      <c r="E12" s="7" t="s">
        <v>67</v>
      </c>
      <c r="F12" s="2" t="s">
        <v>69</v>
      </c>
      <c r="G12" s="6" t="s">
        <v>68</v>
      </c>
    </row>
    <row r="13" spans="2:7" x14ac:dyDescent="0.2">
      <c r="B13" s="184">
        <v>-1.0800000000000001E-2</v>
      </c>
      <c r="C13" s="76">
        <f>B13*(180/PI())</f>
        <v>-0.61879441874128915</v>
      </c>
      <c r="D13" s="77">
        <v>3.2890999999999999</v>
      </c>
      <c r="E13" s="184">
        <v>-3.7900000000000003E-2</v>
      </c>
      <c r="F13" s="76">
        <f>E13*(180/PI())</f>
        <v>-2.1715100435458203</v>
      </c>
      <c r="G13" s="77">
        <v>-133.39940000000001</v>
      </c>
    </row>
    <row r="14" spans="2:7" x14ac:dyDescent="0.2">
      <c r="B14" s="184">
        <v>2.29E-2</v>
      </c>
      <c r="C14" s="76">
        <f>B14*(180/PI())</f>
        <v>1.3120733508495852</v>
      </c>
      <c r="D14" s="77">
        <v>152.19999999999999</v>
      </c>
      <c r="E14" s="184">
        <v>1.15E-2</v>
      </c>
      <c r="F14" s="76">
        <f>E14*(180/PI())</f>
        <v>0.65890146440044672</v>
      </c>
      <c r="G14" s="77">
        <v>165.5</v>
      </c>
    </row>
    <row r="15" spans="2:7" x14ac:dyDescent="0.2">
      <c r="B15" s="115" t="s">
        <v>369</v>
      </c>
      <c r="C15" s="643">
        <f>(D13-D14)/(B13-B14)</f>
        <v>4418.7210682492578</v>
      </c>
      <c r="D15" s="644"/>
      <c r="E15" s="115" t="s">
        <v>369</v>
      </c>
      <c r="F15" s="643">
        <f>(G13-G14)/(E13-E14)</f>
        <v>6050.5951417004053</v>
      </c>
      <c r="G15" s="644"/>
    </row>
    <row r="16" spans="2:7" x14ac:dyDescent="0.2">
      <c r="B16" s="178" t="s">
        <v>370</v>
      </c>
      <c r="C16" s="635">
        <f>C15 * 4.4482216153 / (180/PI())</f>
        <v>343.05232837053785</v>
      </c>
      <c r="D16" s="639"/>
      <c r="E16" s="178" t="s">
        <v>370</v>
      </c>
      <c r="F16" s="635">
        <f>F15 * 4.4482216153 / (180/PI())</f>
        <v>469.7446884127923</v>
      </c>
      <c r="G16" s="639"/>
    </row>
  </sheetData>
  <mergeCells count="10">
    <mergeCell ref="C16:D16"/>
    <mergeCell ref="F16:G16"/>
    <mergeCell ref="G8:G10"/>
    <mergeCell ref="B2:G2"/>
    <mergeCell ref="C15:D15"/>
    <mergeCell ref="F15:G15"/>
    <mergeCell ref="B11:D11"/>
    <mergeCell ref="B7:G7"/>
    <mergeCell ref="E11:G11"/>
    <mergeCell ref="B3:D5"/>
  </mergeCell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C4F6-F98F-1443-B210-C81E0081002D}">
  <sheetPr>
    <tabColor rgb="FFC00000"/>
  </sheetPr>
  <dimension ref="B2:M23"/>
  <sheetViews>
    <sheetView zoomScale="116" zoomScaleNormal="116" workbookViewId="0"/>
  </sheetViews>
  <sheetFormatPr baseColWidth="10" defaultRowHeight="16" x14ac:dyDescent="0.2"/>
  <cols>
    <col min="1" max="1" width="2.6640625" style="2" customWidth="1"/>
    <col min="2" max="2" width="26" style="2" bestFit="1" customWidth="1"/>
    <col min="3" max="3" width="10.83203125" style="2"/>
    <col min="4" max="4" width="25.5" style="2" bestFit="1" customWidth="1"/>
    <col min="5" max="6" width="10.83203125" style="2"/>
    <col min="7" max="7" width="11.83203125" style="2" customWidth="1"/>
    <col min="8" max="8" width="25.5" style="2" bestFit="1" customWidth="1"/>
    <col min="9" max="9" width="10.83203125" style="2"/>
    <col min="10" max="10" width="27" style="2" bestFit="1" customWidth="1"/>
    <col min="11" max="11" width="10.83203125" style="2"/>
    <col min="12" max="12" width="14.33203125" style="2" bestFit="1" customWidth="1"/>
    <col min="13" max="13" width="14.33203125" style="2" customWidth="1"/>
    <col min="14" max="16384" width="10.83203125" style="2"/>
  </cols>
  <sheetData>
    <row r="2" spans="2:13" ht="25" customHeight="1" x14ac:dyDescent="0.2">
      <c r="B2" s="526" t="s">
        <v>138</v>
      </c>
      <c r="C2" s="527"/>
      <c r="D2" s="527"/>
      <c r="E2" s="527"/>
      <c r="F2" s="528"/>
      <c r="H2" s="526" t="s">
        <v>139</v>
      </c>
      <c r="I2" s="527"/>
      <c r="J2" s="527"/>
      <c r="K2" s="527"/>
      <c r="L2" s="527"/>
      <c r="M2" s="528"/>
    </row>
    <row r="3" spans="2:13" x14ac:dyDescent="0.2">
      <c r="B3" s="5" t="s">
        <v>91</v>
      </c>
      <c r="C3" s="3"/>
      <c r="D3" s="4" t="s">
        <v>93</v>
      </c>
      <c r="E3" s="2">
        <f>CONVERT(C3,D3,F3)</f>
        <v>0</v>
      </c>
      <c r="F3" s="6" t="s">
        <v>92</v>
      </c>
      <c r="H3" s="5" t="s">
        <v>104</v>
      </c>
      <c r="I3" s="4"/>
      <c r="J3" s="5" t="s">
        <v>98</v>
      </c>
      <c r="K3" s="4"/>
      <c r="L3" s="3" t="s">
        <v>101</v>
      </c>
      <c r="M3" s="4"/>
    </row>
    <row r="4" spans="2:13" x14ac:dyDescent="0.2">
      <c r="B4" s="7" t="s">
        <v>94</v>
      </c>
      <c r="D4" s="6" t="s">
        <v>93</v>
      </c>
      <c r="F4" s="6" t="s">
        <v>92</v>
      </c>
      <c r="H4" s="7" t="s">
        <v>105</v>
      </c>
      <c r="I4" s="6"/>
      <c r="J4" s="7" t="s">
        <v>99</v>
      </c>
      <c r="K4" s="6"/>
      <c r="L4" s="2" t="s">
        <v>102</v>
      </c>
      <c r="M4" s="6"/>
    </row>
    <row r="5" spans="2:13" x14ac:dyDescent="0.2">
      <c r="B5" s="7" t="s">
        <v>95</v>
      </c>
      <c r="D5" s="6" t="s">
        <v>93</v>
      </c>
      <c r="F5" s="6" t="s">
        <v>92</v>
      </c>
      <c r="H5" s="10" t="s">
        <v>106</v>
      </c>
      <c r="I5" s="9"/>
      <c r="J5" s="10" t="s">
        <v>100</v>
      </c>
      <c r="K5" s="9"/>
      <c r="L5" s="8" t="s">
        <v>103</v>
      </c>
      <c r="M5" s="9"/>
    </row>
    <row r="6" spans="2:13" x14ac:dyDescent="0.2">
      <c r="B6" s="7" t="s">
        <v>96</v>
      </c>
      <c r="C6" s="2" t="s">
        <v>72</v>
      </c>
      <c r="D6" s="6" t="s">
        <v>72</v>
      </c>
      <c r="F6" s="6" t="s">
        <v>92</v>
      </c>
    </row>
    <row r="7" spans="2:13" x14ac:dyDescent="0.2">
      <c r="B7" s="10" t="s">
        <v>97</v>
      </c>
      <c r="C7" s="8" t="s">
        <v>72</v>
      </c>
      <c r="D7" s="9" t="s">
        <v>72</v>
      </c>
      <c r="E7" s="8"/>
      <c r="F7" s="9" t="s">
        <v>92</v>
      </c>
    </row>
    <row r="9" spans="2:13" ht="25" customHeight="1" x14ac:dyDescent="0.2">
      <c r="B9" s="526" t="s">
        <v>140</v>
      </c>
      <c r="C9" s="527"/>
      <c r="D9" s="527"/>
      <c r="E9" s="528"/>
      <c r="H9" s="526" t="s">
        <v>141</v>
      </c>
      <c r="I9" s="527"/>
      <c r="J9" s="527"/>
      <c r="K9" s="528"/>
    </row>
    <row r="10" spans="2:13" x14ac:dyDescent="0.2">
      <c r="B10" s="5" t="s">
        <v>132</v>
      </c>
      <c r="C10" s="4"/>
      <c r="D10" s="3" t="s">
        <v>132</v>
      </c>
      <c r="E10" s="4"/>
      <c r="H10" s="5" t="s">
        <v>132</v>
      </c>
      <c r="I10" s="4"/>
      <c r="J10" s="3" t="s">
        <v>132</v>
      </c>
      <c r="K10" s="4"/>
    </row>
    <row r="11" spans="2:13" x14ac:dyDescent="0.2">
      <c r="B11" s="7" t="s">
        <v>107</v>
      </c>
      <c r="C11" s="6"/>
      <c r="D11" s="2" t="s">
        <v>119</v>
      </c>
      <c r="E11" s="6"/>
      <c r="H11" s="7" t="s">
        <v>107</v>
      </c>
      <c r="I11" s="6"/>
      <c r="J11" s="2" t="s">
        <v>119</v>
      </c>
      <c r="K11" s="6"/>
    </row>
    <row r="12" spans="2:13" x14ac:dyDescent="0.2">
      <c r="B12" s="7" t="s">
        <v>108</v>
      </c>
      <c r="C12" s="6"/>
      <c r="D12" s="2" t="s">
        <v>120</v>
      </c>
      <c r="E12" s="6"/>
      <c r="H12" s="7" t="s">
        <v>108</v>
      </c>
      <c r="I12" s="6"/>
      <c r="J12" s="2" t="s">
        <v>120</v>
      </c>
      <c r="K12" s="6"/>
    </row>
    <row r="13" spans="2:13" x14ac:dyDescent="0.2">
      <c r="B13" s="7" t="s">
        <v>109</v>
      </c>
      <c r="C13" s="6"/>
      <c r="D13" s="2" t="s">
        <v>121</v>
      </c>
      <c r="E13" s="6"/>
      <c r="H13" s="7" t="s">
        <v>109</v>
      </c>
      <c r="I13" s="6"/>
      <c r="J13" s="2" t="s">
        <v>121</v>
      </c>
      <c r="K13" s="6"/>
    </row>
    <row r="14" spans="2:13" x14ac:dyDescent="0.2">
      <c r="B14" s="7" t="s">
        <v>110</v>
      </c>
      <c r="C14" s="6"/>
      <c r="D14" s="2" t="s">
        <v>122</v>
      </c>
      <c r="E14" s="6"/>
      <c r="H14" s="7" t="s">
        <v>110</v>
      </c>
      <c r="I14" s="6"/>
      <c r="J14" s="2" t="s">
        <v>122</v>
      </c>
      <c r="K14" s="6"/>
    </row>
    <row r="15" spans="2:13" x14ac:dyDescent="0.2">
      <c r="B15" s="10" t="s">
        <v>111</v>
      </c>
      <c r="C15" s="9"/>
      <c r="D15" s="8" t="s">
        <v>123</v>
      </c>
      <c r="E15" s="9"/>
      <c r="H15" s="10" t="s">
        <v>111</v>
      </c>
      <c r="I15" s="9"/>
      <c r="J15" s="8" t="s">
        <v>123</v>
      </c>
      <c r="K15" s="9"/>
    </row>
    <row r="16" spans="2:13" x14ac:dyDescent="0.2">
      <c r="B16" s="5" t="s">
        <v>112</v>
      </c>
      <c r="C16" s="4"/>
      <c r="D16" s="3" t="s">
        <v>124</v>
      </c>
      <c r="E16" s="4"/>
      <c r="H16" s="5" t="s">
        <v>112</v>
      </c>
      <c r="I16" s="4"/>
      <c r="J16" s="3" t="s">
        <v>124</v>
      </c>
      <c r="K16" s="4"/>
    </row>
    <row r="17" spans="2:11" x14ac:dyDescent="0.2">
      <c r="B17" s="7" t="s">
        <v>113</v>
      </c>
      <c r="C17" s="6"/>
      <c r="D17" s="2" t="s">
        <v>125</v>
      </c>
      <c r="E17" s="6"/>
      <c r="H17" s="7" t="s">
        <v>113</v>
      </c>
      <c r="I17" s="6"/>
      <c r="J17" s="2" t="s">
        <v>125</v>
      </c>
      <c r="K17" s="6"/>
    </row>
    <row r="18" spans="2:11" x14ac:dyDescent="0.2">
      <c r="B18" s="7" t="s">
        <v>114</v>
      </c>
      <c r="C18" s="6"/>
      <c r="D18" s="2" t="s">
        <v>126</v>
      </c>
      <c r="E18" s="6"/>
      <c r="H18" s="7" t="s">
        <v>114</v>
      </c>
      <c r="I18" s="6"/>
      <c r="J18" s="2" t="s">
        <v>126</v>
      </c>
      <c r="K18" s="6"/>
    </row>
    <row r="19" spans="2:11" x14ac:dyDescent="0.2">
      <c r="B19" s="7" t="s">
        <v>115</v>
      </c>
      <c r="C19" s="6"/>
      <c r="D19" s="2" t="s">
        <v>127</v>
      </c>
      <c r="E19" s="6"/>
      <c r="H19" s="7" t="s">
        <v>115</v>
      </c>
      <c r="I19" s="6"/>
      <c r="J19" s="2" t="s">
        <v>127</v>
      </c>
      <c r="K19" s="6"/>
    </row>
    <row r="20" spans="2:11" x14ac:dyDescent="0.2">
      <c r="B20" s="7" t="s">
        <v>116</v>
      </c>
      <c r="C20" s="6"/>
      <c r="D20" s="2" t="s">
        <v>128</v>
      </c>
      <c r="E20" s="6"/>
      <c r="H20" s="7" t="s">
        <v>116</v>
      </c>
      <c r="I20" s="6"/>
      <c r="J20" s="2" t="s">
        <v>128</v>
      </c>
      <c r="K20" s="6"/>
    </row>
    <row r="21" spans="2:11" x14ac:dyDescent="0.2">
      <c r="B21" s="10" t="s">
        <v>133</v>
      </c>
      <c r="C21" s="9"/>
      <c r="D21" s="8" t="s">
        <v>129</v>
      </c>
      <c r="E21" s="9"/>
      <c r="H21" s="10" t="s">
        <v>133</v>
      </c>
      <c r="I21" s="9"/>
      <c r="J21" s="8" t="s">
        <v>129</v>
      </c>
      <c r="K21" s="9"/>
    </row>
    <row r="22" spans="2:11" x14ac:dyDescent="0.2">
      <c r="B22" s="7" t="s">
        <v>117</v>
      </c>
      <c r="C22" s="6"/>
      <c r="D22" s="2" t="s">
        <v>130</v>
      </c>
      <c r="E22" s="6"/>
      <c r="H22" s="7" t="s">
        <v>117</v>
      </c>
      <c r="I22" s="6"/>
      <c r="J22" s="2" t="s">
        <v>130</v>
      </c>
      <c r="K22" s="6"/>
    </row>
    <row r="23" spans="2:11" x14ac:dyDescent="0.2">
      <c r="B23" s="10" t="s">
        <v>118</v>
      </c>
      <c r="C23" s="9"/>
      <c r="D23" s="8" t="s">
        <v>131</v>
      </c>
      <c r="E23" s="9"/>
      <c r="H23" s="10" t="s">
        <v>118</v>
      </c>
      <c r="I23" s="9"/>
      <c r="J23" s="8" t="s">
        <v>131</v>
      </c>
      <c r="K23" s="9"/>
    </row>
  </sheetData>
  <mergeCells count="4">
    <mergeCell ref="B2:F2"/>
    <mergeCell ref="B9:E9"/>
    <mergeCell ref="H9:K9"/>
    <mergeCell ref="H2:M2"/>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68</vt:i4>
      </vt:variant>
    </vt:vector>
  </HeadingPairs>
  <TitlesOfParts>
    <vt:vector size="82" baseType="lpstr">
      <vt:lpstr>(HOME)</vt:lpstr>
      <vt:lpstr>Parameters and Rates</vt:lpstr>
      <vt:lpstr>Link Loads</vt:lpstr>
      <vt:lpstr>Kinematics</vt:lpstr>
      <vt:lpstr>Roll Rates</vt:lpstr>
      <vt:lpstr>ARB Design</vt:lpstr>
      <vt:lpstr>Load Transfer</vt:lpstr>
      <vt:lpstr>RF, K, k, MR</vt:lpstr>
      <vt:lpstr>Pitch</vt:lpstr>
      <vt:lpstr>Aero Clearance</vt:lpstr>
      <vt:lpstr>Weight</vt:lpstr>
      <vt:lpstr>Understeer</vt:lpstr>
      <vt:lpstr>Tires</vt:lpstr>
      <vt:lpstr>Z - Damping</vt:lpstr>
      <vt:lpstr>a_bump</vt:lpstr>
      <vt:lpstr>a_x_accel</vt:lpstr>
      <vt:lpstr>a_x_accelCorner</vt:lpstr>
      <vt:lpstr>a_x_brake</vt:lpstr>
      <vt:lpstr>a_x_brakeCorner</vt:lpstr>
      <vt:lpstr>a_x_corner</vt:lpstr>
      <vt:lpstr>a_y</vt:lpstr>
      <vt:lpstr>a_y_accel</vt:lpstr>
      <vt:lpstr>a_y_accelCorner</vt:lpstr>
      <vt:lpstr>a_y_brake</vt:lpstr>
      <vt:lpstr>a_y_brakeCorner</vt:lpstr>
      <vt:lpstr>cg_in</vt:lpstr>
      <vt:lpstr>cg_m</vt:lpstr>
      <vt:lpstr>cornerWeight_lbf</vt:lpstr>
      <vt:lpstr>cornerWeight_N</vt:lpstr>
      <vt:lpstr>criticalSpeed</vt:lpstr>
      <vt:lpstr>f_cornering_lbf</vt:lpstr>
      <vt:lpstr>f_cornering_N</vt:lpstr>
      <vt:lpstr>FARB_disp_soft</vt:lpstr>
      <vt:lpstr>FARB_disp_stiff</vt:lpstr>
      <vt:lpstr>FARB_rate_max</vt:lpstr>
      <vt:lpstr>FARB_rate_min</vt:lpstr>
      <vt:lpstr>LLTD</vt:lpstr>
      <vt:lpstr>MR_ARB_front</vt:lpstr>
      <vt:lpstr>MR_ARB_rear</vt:lpstr>
      <vt:lpstr>MR_front</vt:lpstr>
      <vt:lpstr>MR_rear</vt:lpstr>
      <vt:lpstr>pitchGrad_accel</vt:lpstr>
      <vt:lpstr>pitchGrad_brake</vt:lpstr>
      <vt:lpstr>pitchGrad_min</vt:lpstr>
      <vt:lpstr>RARB_disp_soft</vt:lpstr>
      <vt:lpstr>RARB_disp_stiff</vt:lpstr>
      <vt:lpstr>RARB_rate_max</vt:lpstr>
      <vt:lpstr>RARB_rate_min</vt:lpstr>
      <vt:lpstr>rc_front_in</vt:lpstr>
      <vt:lpstr>rc_front_m</vt:lpstr>
      <vt:lpstr>rc_rear_in</vt:lpstr>
      <vt:lpstr>rc_rear_m</vt:lpstr>
      <vt:lpstr>rideFreq_front</vt:lpstr>
      <vt:lpstr>rideFreq_rear</vt:lpstr>
      <vt:lpstr>rideHeight_in</vt:lpstr>
      <vt:lpstr>rideHeight_m</vt:lpstr>
      <vt:lpstr>rollGrad_max</vt:lpstr>
      <vt:lpstr>rollGrad_min</vt:lpstr>
      <vt:lpstr>springRate_front_imp</vt:lpstr>
      <vt:lpstr>springRate_front_SI</vt:lpstr>
      <vt:lpstr>springRate_rear_imp</vt:lpstr>
      <vt:lpstr>springRate_rear_SI</vt:lpstr>
      <vt:lpstr>tireRate_imp</vt:lpstr>
      <vt:lpstr>tireRate_SI</vt:lpstr>
      <vt:lpstr>totalSprungWeight_lbf</vt:lpstr>
      <vt:lpstr>totalSprungWeight_N</vt:lpstr>
      <vt:lpstr>totalWeight_lbf</vt:lpstr>
      <vt:lpstr>totalWeight_N</vt:lpstr>
      <vt:lpstr>trackwidth_front_in</vt:lpstr>
      <vt:lpstr>trackwidth_front_m</vt:lpstr>
      <vt:lpstr>trackwidth_rear_in</vt:lpstr>
      <vt:lpstr>trackwidth_rear_m</vt:lpstr>
      <vt:lpstr>understeerGrad</vt:lpstr>
      <vt:lpstr>vehicleWeight_lbf</vt:lpstr>
      <vt:lpstr>vehicleWeight_N</vt:lpstr>
      <vt:lpstr>weightDist</vt:lpstr>
      <vt:lpstr>wheelbase_in</vt:lpstr>
      <vt:lpstr>wheelbase_m</vt:lpstr>
      <vt:lpstr>wheelRate_front_imp</vt:lpstr>
      <vt:lpstr>wheelRate_front_SI</vt:lpstr>
      <vt:lpstr>wheelRate_rear_imp</vt:lpstr>
      <vt:lpstr>wheelRate_rear_SI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Sujan Munver</dc:creator>
  <cp:lastModifiedBy>Sujan Munver</cp:lastModifiedBy>
  <cp:lastPrinted>2026-06-11T02:11:14Z</cp:lastPrinted>
  <dcterms:created xsi:type="dcterms:W3CDTF">2025-07-21T21:28:11Z</dcterms:created>
  <dcterms:modified xsi:type="dcterms:W3CDTF">2026-07-28T16:11:06Z</dcterms:modified>
</cp:coreProperties>
</file>